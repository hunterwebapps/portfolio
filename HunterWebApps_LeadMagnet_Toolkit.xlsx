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78866397d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f6421feecc14efb"/>
    <x:sheet xmlns:r="http://schemas.openxmlformats.org/officeDocument/2006/relationships" name="Scorecard" sheetId="2" r:id="R2e776e5306d0446d"/>
    <x:sheet xmlns:r="http://schemas.openxmlformats.org/officeDocument/2006/relationships" name="System Gap Audit" sheetId="3" r:id="Rd2b5ddb789884f0a"/>
    <x:sheet xmlns:r="http://schemas.openxmlformats.org/officeDocument/2006/relationships" name="Margin Heatmap" sheetId="4" r:id="Rdb06a0eb2504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$&quot;#,##0"/>
  </x:numFmts>
  <x:fonts count="8">
    <x:font>
      <x:sz val="11"/>
      <x:color theme="1"/>
      <x:name val="Calibri"/>
      <x:family val="2"/>
      <x:scheme val="minor"/>
    </x:font>
    <x:font>
      <x:b/>
      <x:sz val="16"/>
      <x:color rgb="001F2A44"/>
    </x:font>
    <x:font>
      <x:color rgb="000000FF"/>
    </x:font>
    <x:font>
      <x:b/>
    </x:font>
    <x:font>
      <x:b/>
      <x:color rgb="00FFFFFF"/>
    </x:font>
    <x:font>
      <x:b/>
      <x:sz val="14"/>
      <x:color rgb="001F2A44"/>
    </x:font>
    <x:font>
      <x:b/>
      <x:color rgb="001F2A44"/>
    </x:font>
    <x:font>
      <x:b/>
      <x:sz val="18"/>
      <x:color rgb="001F2A44"/>
    </x:font>
  </x:fonts>
  <x:fills count="4">
    <x:fill>
      <x:patternFill patternType="none"/>
    </x:fill>
    <x:fill>
      <x:patternFill patternType="gray125"/>
    </x:fill>
    <x:fill>
      <x:patternFill patternType="solid">
        <x:fgColor rgb="001F2A44"/>
      </x:patternFill>
    </x:fill>
    <x:fill>
      <x:patternFill patternType="solid">
        <x:fgColor rgb="00E6EEF8"/>
      </x:patternFill>
    </x:fill>
  </x:fills>
  <x:borders count="2">
    <x:border>
      <x:left/>
      <x:right/>
      <x:top/>
      <x:bottom/>
      <x:diagonal/>
    </x:border>
    <x:border>
      <x:left style="thin">
        <x:color rgb="00B0B0B0"/>
      </x:left>
      <x:right style="thin">
        <x:color rgb="00B0B0B0"/>
      </x:right>
      <x:top style="thin">
        <x:color rgb="00B0B0B0"/>
      </x:top>
      <x:bottom style="thin">
        <x:color rgb="00B0B0B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7" fillId="0" borderId="0" xfId="0"/>
    <x:xf numFmtId="0" fontId="3" fillId="0" borderId="0" xfId="0"/>
    <x:xf numFmtId="0" fontId="6" fillId="0" borderId="0" xfId="0"/>
    <x:xf numFmtId="0" fontId="0" fillId="0" borderId="0" xfId="0" applyAlignment="1">
      <x:alignment vertical="top" wrapText="1"/>
    </x:xf>
    <x:xf numFmtId="0" fontId="1" fillId="0" borderId="0" xfId="0"/>
    <x:xf numFmtId="0" fontId="5" fillId="0" borderId="0" xfId="0"/>
    <x:xf numFmtId="1" fontId="6" fillId="0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Alignment="1">
      <x:alignment horizontal="center" vertical="center" wrapText="1"/>
    </x:xf>
    <x:xf numFmtId="0" fontId="2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0" borderId="1" xfId="0" applyAlignment="1">
      <x:alignment horizontal="center" vertical="center" wrapText="1"/>
    </x:xf>
    <x:xf numFmtId="9" fontId="0" fillId="0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1" xfId="0" applyAlignment="1">
      <x:alignment horizontal="center" vertical="center" wrapText="1"/>
    </x:xf>
    <x:xf numFmtId="0" fontId="3" fillId="0" borderId="1" xfId="0"/>
    <x:xf numFmtId="0" fontId="3" fillId="0" borderId="1" xfId="0" applyAlignment="1">
      <x:alignment horizontal="center" vertical="center" wrapText="1"/>
    </x:xf>
    <x:xf numFmtId="9" fontId="3" fillId="0" borderId="1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3" fillId="0" borderId="0" xfId="0" applyAlignment="1">
      <x:alignment vertical="center"/>
    </x:xf>
    <x:xf numFmtId="164" fontId="0" fillId="0" borderId="0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3" fillId="3" borderId="1" xfId="0" applyAlignment="1">
      <x:alignment horizontal="left" vertical="top" wrapText="1"/>
    </x:xf>
    <x:xf numFmtId="0" fontId="3" fillId="3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4ff06c1474319" /><Relationship Type="http://schemas.openxmlformats.org/officeDocument/2006/relationships/theme" Target="/xl/theme/theme1.xml" Id="Rf314996b4ae84f35" /><Relationship Type="http://schemas.openxmlformats.org/officeDocument/2006/relationships/sharedStrings" Target="/xl/sharedStrings.xml" Id="R14171d4325b54d44" /><Relationship Type="http://schemas.openxmlformats.org/officeDocument/2006/relationships/worksheet" Target="/xl/worksheets/sheet1.xml" Id="R8f6421feecc14efb" /><Relationship Type="http://schemas.openxmlformats.org/officeDocument/2006/relationships/worksheet" Target="/xl/worksheets/sheet2.xml" Id="R2e776e5306d0446d" /><Relationship Type="http://schemas.openxmlformats.org/officeDocument/2006/relationships/worksheet" Target="/xl/worksheets/sheet3.xml" Id="Rd2b5ddb789884f0a" /><Relationship Type="http://schemas.openxmlformats.org/officeDocument/2006/relationships/worksheet" Target="/xl/worksheets/sheet4.xml" Id="Rdb06a0eb250449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b005ac5ba449dc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Category Coverage</a:t>
            </a:r>
          </a:p>
        </c:rich>
      </c:tx>
      <c:overlay val="0"/>
      <c: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gapWidth val="150"/>
        <c:ser>
          <c:idx val="0"/>
          <c:order val="0"/>
          <c:tx>
            <c:strRef>
              <c:f>'Scorecard'!L6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'Scorecard'!$I$7:$I$15</c:f>
              <c:strCache>
                <c:ptCount val="0"/>
              </c:strCache>
            </c:strRef>
          </c:cat>
          <c:val>
            <c:numRef>
              <c:f>'Scorecard'!$L$7:$L$15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17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b005ac5ba449d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23117c956a242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70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>
      <x:c r="A1" s="1" t="inlineStr">
        <x:is>
          <x:t xml:space="preserve">Hunter Web Apps – Lead Magnet Toolkit</x:t>
        </x:is>
      </x:c>
    </x:row>
    <x:row r="3">
      <x:c r="A3" s="2" t="inlineStr">
        <x:is>
          <x:t xml:space="preserve">This workbook includes:</x:t>
        </x:is>
      </x:c>
    </x:row>
    <x:row r="5">
      <x:c r="A5" s="3" t="inlineStr">
        <x:is>
          <x:t xml:space="preserve">Spreadsheet-to-System Scorecard</x:t>
        </x:is>
      </x:c>
      <x:c r="B5" s="4" t="inlineStr">
        <x:is>
          <x:t xml:space="preserve">A fast self-assessment to quantify spreadsheet dependency and prioritize fixes.</x:t>
        </x:is>
      </x:c>
    </x:row>
    <x:row r="7">
      <x:c r="A7" s="3" t="inlineStr">
        <x:is>
          <x:t xml:space="preserve">System Gap Audit Checklist</x:t>
        </x:is>
      </x:c>
      <x:c r="B7" s="4" t="inlineStr">
        <x:is>
          <x:t xml:space="preserve">A structured checklist to capture system limitations, workarounds, and monthly cost.</x:t>
        </x:is>
      </x:c>
    </x:row>
    <x:row r="9">
      <x:c r="A9" s="3" t="inlineStr">
        <x:is>
          <x:t xml:space="preserve">3PL Margin-Killer Heatmap</x:t>
        </x:is>
      </x:c>
      <x:c r="B9" s="4" t="inlineStr">
        <x:is>
          <x:t xml:space="preserve">A quick rating matrix that highlights where margin is leaking across processes.</x:t>
        </x:is>
      </x:c>
    </x:row>
    <x:row r="11">
      <x:c r="A11" s="2" t="inlineStr">
        <x:is>
          <x:t xml:space="preserve">How to use:</x:t>
        </x:is>
      </x:c>
    </x:row>
    <x:row r="12">
      <x:c r="A12" s="4" t="inlineStr">
        <x:is>
          <x:t xml:space="preserve">1) Complete the Scorecard first. If your maturity is 'Spreadsheet-Driven' or 'Hybrid', focus on 1–2 categories.
2) Use the Gap Audit to document the specific capabilities that are missing or brittle.
3) Use the Margin Heatmap to sanity-check which gaps likely drive the most recoverable profit.
Tip: When you have the top 3 gaps + estimated monthly impact, you have enough to build a 90-day roadmap.</x:t>
        </x:is>
      </x:c>
    </x:row>
    <x:row r="13"/>
    <x:row r="14"/>
    <x:row r="15"/>
    <x:row r="17">
      <x:c r="A17" s="2" t="inlineStr">
        <x:is>
          <x:t xml:space="preserve">Notes:</x:t>
        </x:is>
      </x:c>
    </x:row>
    <x:row r="18">
      <x:c r="A18" s="4" t="inlineStr">
        <x:is>
          <x:t xml:space="preserve">All ratings/estimates are directional. The goal is clarity and prioritization, not perfect precision.</x:t>
        </x:is>
      </x:c>
    </x:row>
    <x:row r="19"/>
    <x:row r="20"/>
  </x:sheetData>
  <x:mergeCells>
    <x:mergeCell ref="B7:F7"/>
    <x:mergeCell ref="A1:F1"/>
    <x:mergeCell ref="A18:F20"/>
    <x:mergeCell ref="B5:F5"/>
    <x:mergeCell ref="B9:F9"/>
    <x:mergeCell ref="A12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60" customWidth="1"/>
    <x:col min="3" max="3" width="12" customWidth="1"/>
    <x:col min="4" max="4" width="8" customWidth="1"/>
    <x:col min="5" max="5" width="14" customWidth="1"/>
    <x:col min="6" max="6" width="30" customWidth="1"/>
    <x:col min="7" max="7" width="22" customWidth="1"/>
    <x:col min="9" max="9" width="26" customWidth="1"/>
    <x:col min="10" max="10" width="14" customWidth="1"/>
    <x:col min="11" max="11" width="14" customWidth="1"/>
    <x:col min="12" max="12" width="18" customWidth="1"/>
  </x:cols>
  <x:sheetData>
    <x:row r="1">
      <x:c r="A1" s="5" t="inlineStr">
        <x:is>
          <x:t xml:space="preserve">Spreadsheet-to-System Scorecard (3PLs &amp; Distributors)</x:t>
        </x:is>
      </x:c>
      <x:c r="I1" s="6" t="inlineStr">
        <x:is>
          <x:t xml:space="preserve">Results Summary</x:t>
        </x:is>
      </x:c>
    </x:row>
    <x:row r="2">
      <x:c r="A2" s="4" t="inlineStr">
        <x:is>
          <x:t xml:space="preserve">Purpose: identify where spreadsheets/manual workarounds are hiding in operations, quantify risk, and prioritize the next 90 days.</x:t>
        </x:is>
      </x:c>
      <x:c r="I2" s="2" t="inlineStr">
        <x:is>
          <x:t xml:space="preserve">Overall Score (0–100)</x:t>
        </x:is>
      </x:c>
      <x:c r="J2" s="7">
        <x:f>IFERROR(SUM(E9:E39)/(SUM(D9:D39)*4)*100,0)</x:f>
        <x:v>0</x:v>
      </x:c>
    </x:row>
    <x:row r="3">
      <x:c r="A3" s="4" t="inlineStr">
        <x:is>
          <x:t xml:space="preserve">Scoring (0–4): 0=Spreadsheet/Manual | 1=Mostly manual w/ some system use | 2=System + frequent exports/workarounds | 3=Mostly system-driven | 4=Integrated + automated + controlled</x:t>
        </x:is>
      </x:c>
      <x:c r="I3" s="2" t="inlineStr">
        <x:is>
          <x:t xml:space="preserve">Maturity Level</x:t>
        </x:is>
      </x:c>
      <x:c r="J3" s="8" t="str">
        <x:f>IF(J2&lt;25,"Spreadsheet-Driven",IF(J2&lt;50,"Hybrid",IF(J2&lt;75,"System-Driven","Integrated")))</x:f>
        <x:v>Spreadsheet-Driven</x:v>
      </x:c>
    </x:row>
    <x:row r="4">
      <x:c r="A4" s="4" t="inlineStr">
        <x:is>
          <x:t xml:space="preserve">Time: 10–15 minutes. Best completed by Ops + IT together.</x:t>
        </x:is>
      </x:c>
      <x:c r="I4" s="2" t="inlineStr">
        <x:is>
          <x:t xml:space="preserve">What this means</x:t>
        </x:is>
      </x:c>
      <x:c r="J4" s="4" t="inlineStr">
        <x:is>
          <x:t xml:space="preserve">Use the category scores below to pick 1–2 focus areas for the next 90 days.</x:t>
        </x:is>
      </x:c>
    </x:row>
    <x:row r="6">
      <x:c r="A6" s="9" t="inlineStr">
        <x:is>
          <x:t xml:space="preserve">Company</x:t>
        </x:is>
      </x:c>
      <x:c r="B6" s="10" t="inlineStr">
        <x:is>
          <x:t xml:space="preserve"/>
        </x:is>
      </x:c>
      <x:c r="D6" s="9" t="inlineStr">
        <x:is>
          <x:t xml:space="preserve">Completed by</x:t>
        </x:is>
      </x:c>
      <x:c r="E6" s="10" t="inlineStr">
        <x:is>
          <x:t xml:space="preserve"/>
        </x:is>
      </x:c>
      <x:c r="F6" s="9" t="inlineStr">
        <x:is>
          <x:t xml:space="preserve">Date</x:t>
        </x:is>
      </x:c>
      <x:c r="G6" s="10" t="inlineStr">
        <x:is>
          <x:t xml:space="preserve">2025-12-17</x:t>
        </x:is>
      </x:c>
      <x:c r="I6" s="11" t="inlineStr">
        <x:is>
          <x:t xml:space="preserve">Category</x:t>
        </x:is>
      </x:c>
      <x:c r="J6" s="11" t="inlineStr">
        <x:is>
          <x:t xml:space="preserve">Score</x:t>
        </x:is>
      </x:c>
      <x:c r="K6" s="11" t="inlineStr">
        <x:is>
          <x:t xml:space="preserve">Max</x:t>
        </x:is>
      </x:c>
      <x:c r="L6" s="11" t="inlineStr">
        <x:is>
          <x:t xml:space="preserve">Percent</x:t>
        </x:is>
      </x:c>
    </x:row>
    <x:row r="7">
      <x:c r="I7" s="15" t="inlineStr">
        <x:is>
          <x:t xml:space="preserve">Billing &amp; Finance</x:t>
        </x:is>
      </x:c>
      <x:c r="J7" s="13">
        <x:f>SUMPRODUCT(--($A$9:$A$39=I7),$E$9:$E$39)</x:f>
        <x:v>0</x:v>
      </x:c>
      <x:c r="K7" s="13">
        <x:f>SUMPRODUCT(--($A$9:$A$39=I7),$D$9:$D$39)*4</x:f>
        <x:v>16</x:v>
      </x:c>
      <x:c r="L7" s="14">
        <x:f>IFERROR(J7/K7,0)</x:f>
        <x:v>0</x:v>
      </x:c>
    </x:row>
    <x:row r="8">
      <x:c r="A8" s="11" t="inlineStr">
        <x:is>
          <x:t xml:space="preserve">Category</x:t>
        </x:is>
      </x:c>
      <x:c r="B8" s="11" t="inlineStr">
        <x:is>
          <x:t xml:space="preserve">Question</x:t>
        </x:is>
      </x:c>
      <x:c r="C8" s="11" t="inlineStr">
        <x:is>
          <x:t xml:space="preserve">Score (0–4)</x:t>
        </x:is>
      </x:c>
      <x:c r="D8" s="11" t="inlineStr">
        <x:is>
          <x:t xml:space="preserve">Weight</x:t>
        </x:is>
      </x:c>
      <x:c r="E8" s="11" t="inlineStr">
        <x:is>
          <x:t xml:space="preserve">Weighted Score</x:t>
        </x:is>
      </x:c>
      <x:c r="F8" s="11" t="inlineStr">
        <x:is>
          <x:t xml:space="preserve">Evidence / Notes</x:t>
        </x:is>
      </x:c>
      <x:c r="G8" s="11" t="inlineStr">
        <x:is>
          <x:t xml:space="preserve">Quick-win idea</x:t>
        </x:is>
      </x:c>
      <x:c r="I8" s="15" t="inlineStr">
        <x:is>
          <x:t xml:space="preserve">Customer Requirements &amp; SLAs</x:t>
        </x:is>
      </x:c>
      <x:c r="J8" s="13">
        <x:f>SUMPRODUCT(--($A$9:$A$39=I8),$E$9:$E$39)</x:f>
        <x:v>0</x:v>
      </x:c>
      <x:c r="K8" s="13">
        <x:f>SUMPRODUCT(--($A$9:$A$39=I8),$D$9:$D$39)*4</x:f>
        <x:v>12</x:v>
      </x:c>
      <x:c r="L8" s="14">
        <x:f>IFERROR(J8/K8,0)</x:f>
        <x:v>0</x:v>
      </x:c>
    </x:row>
    <x:row r="9">
      <x:c r="A9" s="15" t="inlineStr">
        <x:is>
          <x:t xml:space="preserve">Order-to-Ship</x:t>
        </x:is>
      </x:c>
      <x:c r="B9" s="15" t="inlineStr">
        <x:is>
          <x:t xml:space="preserve">Order intake is captured once (no re-keying from email/PDF/spreadsheets).</x:t>
        </x:is>
      </x:c>
      <x:c r="C9" s="16" t="n">
        <x:v>0</x:v>
      </x:c>
      <x:c r="D9" s="16" t="n">
        <x:v>1</x:v>
      </x:c>
      <x:c r="E9" s="13">
        <x:f>C9*D9</x:f>
        <x:v>0</x:v>
      </x:c>
      <x:c r="F9" s="15" t="inlineStr">
        <x:is>
          <x:t xml:space="preserve"/>
        </x:is>
      </x:c>
      <x:c r="G9" s="15" t="inlineStr">
        <x:is>
          <x:t xml:space="preserve"/>
        </x:is>
      </x:c>
      <x:c r="I9" s="15" t="inlineStr">
        <x:is>
          <x:t xml:space="preserve">Exception Management</x:t>
        </x:is>
      </x:c>
      <x:c r="J9" s="13">
        <x:f>SUMPRODUCT(--($A$9:$A$39=I9),$E$9:$E$39)</x:f>
        <x:v>0</x:v>
      </x:c>
      <x:c r="K9" s="13">
        <x:f>SUMPRODUCT(--($A$9:$A$39=I9),$D$9:$D$39)*4</x:f>
        <x:v>8</x:v>
      </x:c>
      <x:c r="L9" s="14">
        <x:f>IFERROR(J9/K9,0)</x:f>
        <x:v>0</x:v>
      </x:c>
    </x:row>
    <x:row r="10">
      <x:c r="A10" s="15" t="inlineStr">
        <x:is>
          <x:t xml:space="preserve">Order-to-Ship</x:t>
        </x:is>
      </x:c>
      <x:c r="B10" s="15" t="inlineStr">
        <x:is>
          <x:t xml:space="preserve">Customer-specific routing, labeling, and packing rules are enforced automatically.</x:t>
        </x:is>
      </x:c>
      <x:c r="C10" s="16" t="n">
        <x:v>0</x:v>
      </x:c>
      <x:c r="D10" s="16" t="n">
        <x:v>1</x:v>
      </x:c>
      <x:c r="E10" s="13">
        <x:f>C10*D10</x:f>
        <x:v>0</x:v>
      </x:c>
      <x:c r="F10" s="15" t="inlineStr">
        <x:is>
          <x:t xml:space="preserve"/>
        </x:is>
      </x:c>
      <x:c r="G10" s="15" t="inlineStr">
        <x:is>
          <x:t xml:space="preserve"/>
        </x:is>
      </x:c>
      <x:c r="I10" s="15" t="inlineStr">
        <x:is>
          <x:t xml:space="preserve">Integrations &amp; Data Flow</x:t>
        </x:is>
      </x:c>
      <x:c r="J10" s="13">
        <x:f>SUMPRODUCT(--($A$9:$A$39=I10),$E$9:$E$39)</x:f>
        <x:v>0</x:v>
      </x:c>
      <x:c r="K10" s="13">
        <x:f>SUMPRODUCT(--($A$9:$A$39=I10),$D$9:$D$39)*4</x:f>
        <x:v>16</x:v>
      </x:c>
      <x:c r="L10" s="14">
        <x:f>IFERROR(J10/K10,0)</x:f>
        <x:v>0</x:v>
      </x:c>
    </x:row>
    <x:row r="11">
      <x:c r="A11" s="15" t="inlineStr">
        <x:is>
          <x:t xml:space="preserve">Order-to-Ship</x:t>
        </x:is>
      </x:c>
      <x:c r="B11" s="15" t="inlineStr">
        <x:is>
          <x:t xml:space="preserve">Pick/pack tasks are system-directed (not printed lists or spreadsheet work queues).</x:t>
        </x:is>
      </x:c>
      <x:c r="C11" s="16" t="n">
        <x:v>0</x:v>
      </x:c>
      <x:c r="D11" s="16" t="n">
        <x:v>1</x:v>
      </x:c>
      <x:c r="E11" s="13">
        <x:f>C11*D11</x:f>
        <x:v>0</x:v>
      </x:c>
      <x:c r="F11" s="15" t="inlineStr">
        <x:is>
          <x:t xml:space="preserve"/>
        </x:is>
      </x:c>
      <x:c r="G11" s="15" t="inlineStr">
        <x:is>
          <x:t xml:space="preserve"/>
        </x:is>
      </x:c>
      <x:c r="I11" s="15" t="inlineStr">
        <x:is>
          <x:t xml:space="preserve">Inventory Accuracy</x:t>
        </x:is>
      </x:c>
      <x:c r="J11" s="13">
        <x:f>SUMPRODUCT(--($A$9:$A$39=I11),$E$9:$E$39)</x:f>
        <x:v>0</x:v>
      </x:c>
      <x:c r="K11" s="13">
        <x:f>SUMPRODUCT(--($A$9:$A$39=I11),$D$9:$D$39)*4</x:f>
        <x:v>16</x:v>
      </x:c>
      <x:c r="L11" s="14">
        <x:f>IFERROR(J11/K11,0)</x:f>
        <x:v>0</x:v>
      </x:c>
    </x:row>
    <x:row r="12">
      <x:c r="A12" s="15" t="inlineStr">
        <x:is>
          <x:t xml:space="preserve">Order-to-Ship</x:t>
        </x:is>
      </x:c>
      <x:c r="B12" s="15" t="inlineStr">
        <x:is>
          <x:t xml:space="preserve">Shipping labels/manifests are generated from an integrated workflow (not copy/paste).</x:t>
        </x:is>
      </x:c>
      <x:c r="C12" s="16" t="n">
        <x:v>0</x:v>
      </x:c>
      <x:c r="D12" s="16" t="n">
        <x:v>1</x:v>
      </x:c>
      <x:c r="E12" s="13">
        <x:f>C12*D12</x:f>
        <x:v>0</x:v>
      </x:c>
      <x:c r="F12" s="15" t="inlineStr">
        <x:is>
          <x:t xml:space="preserve"/>
        </x:is>
      </x:c>
      <x:c r="G12" s="15" t="inlineStr">
        <x:is>
          <x:t xml:space="preserve"/>
        </x:is>
      </x:c>
      <x:c r="I12" s="15" t="inlineStr">
        <x:is>
          <x:t xml:space="preserve">Labor &amp; Productivity</x:t>
        </x:is>
      </x:c>
      <x:c r="J12" s="13">
        <x:f>SUMPRODUCT(--($A$9:$A$39=I12),$E$9:$E$39)</x:f>
        <x:v>0</x:v>
      </x:c>
      <x:c r="K12" s="13">
        <x:f>SUMPRODUCT(--($A$9:$A$39=I12),$D$9:$D$39)*4</x:f>
        <x:v>8</x:v>
      </x:c>
      <x:c r="L12" s="14">
        <x:f>IFERROR(J12/K12,0)</x:f>
        <x:v>0</x:v>
      </x:c>
    </x:row>
    <x:row r="13">
      <x:c r="A13" s="15" t="inlineStr">
        <x:is>
          <x:t xml:space="preserve">Order-to-Ship</x:t>
        </x:is>
      </x:c>
      <x:c r="B13" s="15" t="inlineStr">
        <x:is>
          <x:t xml:space="preserve">Exceptions (shorts, substitutions, holds) are tracked in-system with clear resolution paths.</x:t>
        </x:is>
      </x:c>
      <x:c r="C13" s="16" t="n">
        <x:v>0</x:v>
      </x:c>
      <x:c r="D13" s="16" t="n">
        <x:v>1</x:v>
      </x:c>
      <x:c r="E13" s="13">
        <x:f>C13*D13</x:f>
        <x:v>0</x:v>
      </x:c>
      <x:c r="F13" s="15" t="inlineStr">
        <x:is>
          <x:t xml:space="preserve"/>
        </x:is>
      </x:c>
      <x:c r="G13" s="15" t="inlineStr">
        <x:is>
          <x:t xml:space="preserve"/>
        </x:is>
      </x:c>
      <x:c r="I13" s="15" t="inlineStr">
        <x:is>
          <x:t xml:space="preserve">Order-to-Ship</x:t>
        </x:is>
      </x:c>
      <x:c r="J13" s="13">
        <x:f>SUMPRODUCT(--($A$9:$A$39=I13),$E$9:$E$39)</x:f>
        <x:v>0</x:v>
      </x:c>
      <x:c r="K13" s="13">
        <x:f>SUMPRODUCT(--($A$9:$A$39=I13),$D$9:$D$39)*4</x:f>
        <x:v>20</x:v>
      </x:c>
      <x:c r="L13" s="14">
        <x:f>IFERROR(J13/K13,0)</x:f>
        <x:v>0</x:v>
      </x:c>
    </x:row>
    <x:row r="14">
      <x:c r="A14" s="15" t="inlineStr">
        <x:is>
          <x:t xml:space="preserve">Receiving &amp; Putaway</x:t>
        </x:is>
      </x:c>
      <x:c r="B14" s="15" t="inlineStr">
        <x:is>
          <x:t xml:space="preserve">Inbound appointments/ASNs are captured and accessible to receiving teams.</x:t>
        </x:is>
      </x:c>
      <x:c r="C14" s="16" t="n">
        <x:v>0</x:v>
      </x:c>
      <x:c r="D14" s="16" t="n">
        <x:v>1</x:v>
      </x:c>
      <x:c r="E14" s="13">
        <x:f>C14*D14</x:f>
        <x:v>0</x:v>
      </x:c>
      <x:c r="F14" s="15" t="inlineStr">
        <x:is>
          <x:t xml:space="preserve"/>
        </x:is>
      </x:c>
      <x:c r="G14" s="15" t="inlineStr">
        <x:is>
          <x:t xml:space="preserve"/>
        </x:is>
      </x:c>
      <x:c r="I14" s="15" t="inlineStr">
        <x:is>
          <x:t xml:space="preserve">Receiving &amp; Putaway</x:t>
        </x:is>
      </x:c>
      <x:c r="J14" s="13">
        <x:f>SUMPRODUCT(--($A$9:$A$39=I14),$E$9:$E$39)</x:f>
        <x:v>0</x:v>
      </x:c>
      <x:c r="K14" s="13">
        <x:f>SUMPRODUCT(--($A$9:$A$39=I14),$D$9:$D$39)*4</x:f>
        <x:v>16</x:v>
      </x:c>
      <x:c r="L14" s="14">
        <x:f>IFERROR(J14/K14,0)</x:f>
        <x:v>0</x:v>
      </x:c>
    </x:row>
    <x:row r="15">
      <x:c r="A15" s="15" t="inlineStr">
        <x:is>
          <x:t xml:space="preserve">Receiving &amp; Putaway</x:t>
        </x:is>
      </x:c>
      <x:c r="B15" s="15" t="inlineStr">
        <x:is>
          <x:t xml:space="preserve">Receiving is scan-driven with system validation (SKU/lot/qty).</x:t>
        </x:is>
      </x:c>
      <x:c r="C15" s="16" t="n">
        <x:v>0</x:v>
      </x:c>
      <x:c r="D15" s="16" t="n">
        <x:v>1</x:v>
      </x:c>
      <x:c r="E15" s="13">
        <x:f>C15*D15</x:f>
        <x:v>0</x:v>
      </x:c>
      <x:c r="F15" s="15" t="inlineStr">
        <x:is>
          <x:t xml:space="preserve"/>
        </x:is>
      </x:c>
      <x:c r="G15" s="15" t="inlineStr">
        <x:is>
          <x:t xml:space="preserve"/>
        </x:is>
      </x:c>
      <x:c r="I15" s="15" t="inlineStr">
        <x:is>
          <x:t xml:space="preserve">Reporting &amp; Analytics</x:t>
        </x:is>
      </x:c>
      <x:c r="J15" s="13">
        <x:f>SUMPRODUCT(--($A$9:$A$39=I15),$E$9:$E$39)</x:f>
        <x:v>0</x:v>
      </x:c>
      <x:c r="K15" s="13">
        <x:f>SUMPRODUCT(--($A$9:$A$39=I15),$D$9:$D$39)*4</x:f>
        <x:v>12</x:v>
      </x:c>
      <x:c r="L15" s="14">
        <x:f>IFERROR(J15/K15,0)</x:f>
        <x:v>0</x:v>
      </x:c>
    </x:row>
    <x:row r="16">
      <x:c r="A16" s="15" t="inlineStr">
        <x:is>
          <x:t xml:space="preserve">Receiving &amp; Putaway</x:t>
        </x:is>
      </x:c>
      <x:c r="B16" s="15" t="inlineStr">
        <x:is>
          <x:t xml:space="preserve">Putaway rules are system-directed (locations, constraints, velocity).</x:t>
        </x:is>
      </x:c>
      <x:c r="C16" s="16" t="n">
        <x:v>0</x:v>
      </x:c>
      <x:c r="D16" s="16" t="n">
        <x:v>1</x:v>
      </x:c>
      <x:c r="E16" s="13">
        <x:f>C16*D16</x:f>
        <x:v>0</x:v>
      </x:c>
      <x:c r="F16" s="15" t="inlineStr">
        <x:is>
          <x:t xml:space="preserve"/>
        </x:is>
      </x:c>
      <x:c r="G16" s="15" t="inlineStr">
        <x:is>
          <x:t xml:space="preserve"/>
        </x:is>
      </x:c>
      <x:c r="I16" s="17" t="inlineStr">
        <x:is>
          <x:t xml:space="preserve">TOTAL</x:t>
        </x:is>
      </x:c>
      <x:c r="J16" s="18">
        <x:f>SUM(J7:J15)</x:f>
        <x:v>0</x:v>
      </x:c>
      <x:c r="K16" s="18">
        <x:f>SUM(K7:K15)</x:f>
        <x:v>124</x:v>
      </x:c>
      <x:c r="L16" s="19">
        <x:f>IFERROR(J16/K16,0)</x:f>
        <x:v>0</x:v>
      </x:c>
    </x:row>
    <x:row r="17">
      <x:c r="A17" s="15" t="inlineStr">
        <x:is>
          <x:t xml:space="preserve">Receiving &amp; Putaway</x:t>
        </x:is>
      </x:c>
      <x:c r="B17" s="15" t="inlineStr">
        <x:is>
          <x:t xml:space="preserve">Discrepancies (over/short/damage) are logged and communicated without spreadsheets.</x:t>
        </x:is>
      </x:c>
      <x:c r="C17" s="16" t="n">
        <x:v>0</x:v>
      </x:c>
      <x:c r="D17" s="16" t="n">
        <x:v>1</x:v>
      </x:c>
      <x:c r="E17" s="13">
        <x:f>C17*D17</x:f>
        <x:v>0</x:v>
      </x:c>
      <x:c r="F17" s="15" t="inlineStr">
        <x:is>
          <x:t xml:space="preserve"/>
        </x:is>
      </x:c>
      <x:c r="G17" s="15" t="inlineStr">
        <x:is>
          <x:t xml:space="preserve"/>
        </x:is>
      </x:c>
    </x:row>
    <x:row r="18">
      <x:c r="A18" s="15" t="inlineStr">
        <x:is>
          <x:t xml:space="preserve">Inventory Accuracy</x:t>
        </x:is>
      </x:c>
      <x:c r="B18" s="15" t="inlineStr">
        <x:is>
          <x:t xml:space="preserve">Cycle counting is planned and executed in-system with variance reporting.</x:t>
        </x:is>
      </x:c>
      <x:c r="C18" s="16" t="n">
        <x:v>0</x:v>
      </x:c>
      <x:c r="D18" s="16" t="n">
        <x:v>1</x:v>
      </x:c>
      <x:c r="E18" s="13">
        <x:f>C18*D18</x:f>
        <x:v>0</x:v>
      </x:c>
      <x:c r="F18" s="15" t="inlineStr">
        <x:is>
          <x:t xml:space="preserve"/>
        </x:is>
      </x:c>
      <x:c r="G18" s="15" t="inlineStr">
        <x:is>
          <x:t xml:space="preserve"/>
        </x:is>
      </x:c>
    </x:row>
    <x:row r="19">
      <x:c r="A19" s="15" t="inlineStr">
        <x:is>
          <x:t xml:space="preserve">Inventory Accuracy</x:t>
        </x:is>
      </x:c>
      <x:c r="B19" s="15" t="inlineStr">
        <x:is>
          <x:t xml:space="preserve">Lot/serial/expiry tracking is supported where required (without manual logs).</x:t>
        </x:is>
      </x:c>
      <x:c r="C19" s="16" t="n">
        <x:v>0</x:v>
      </x:c>
      <x:c r="D19" s="16" t="n">
        <x:v>1</x:v>
      </x:c>
      <x:c r="E19" s="13">
        <x:f>C19*D19</x:f>
        <x:v>0</x:v>
      </x:c>
      <x:c r="F19" s="15" t="inlineStr">
        <x:is>
          <x:t xml:space="preserve"/>
        </x:is>
      </x:c>
      <x:c r="G19" s="15" t="inlineStr">
        <x:is>
          <x:t xml:space="preserve"/>
        </x:is>
      </x:c>
    </x:row>
    <x:row r="20">
      <x:c r="A20" s="15" t="inlineStr">
        <x:is>
          <x:t xml:space="preserve">Inventory Accuracy</x:t>
        </x:is>
      </x:c>
      <x:c r="B20" s="15" t="inlineStr">
        <x:is>
          <x:t xml:space="preserve">Inventory adjustments require reason codes/approvals and are auditable.</x:t>
        </x:is>
      </x:c>
      <x:c r="C20" s="16" t="n">
        <x:v>0</x:v>
      </x:c>
      <x:c r="D20" s="16" t="n">
        <x:v>1</x:v>
      </x:c>
      <x:c r="E20" s="13">
        <x:f>C20*D20</x:f>
        <x:v>0</x:v>
      </x:c>
      <x:c r="F20" s="15" t="inlineStr">
        <x:is>
          <x:t xml:space="preserve"/>
        </x:is>
      </x:c>
      <x:c r="G20" s="15" t="inlineStr">
        <x:is>
          <x:t xml:space="preserve"/>
        </x:is>
      </x:c>
    </x:row>
    <x:row r="21">
      <x:c r="A21" s="15" t="inlineStr">
        <x:is>
          <x:t xml:space="preserve">Inventory Accuracy</x:t>
        </x:is>
      </x:c>
      <x:c r="B21" s="15" t="inlineStr">
        <x:is>
          <x:t xml:space="preserve">Inventory status/holds (QA, quarantine, damaged) are managed consistently in-system.</x:t>
        </x:is>
      </x:c>
      <x:c r="C21" s="16" t="n">
        <x:v>0</x:v>
      </x:c>
      <x:c r="D21" s="16" t="n">
        <x:v>1</x:v>
      </x:c>
      <x:c r="E21" s="13">
        <x:f>C21*D21</x:f>
        <x:v>0</x:v>
      </x:c>
      <x:c r="F21" s="15" t="inlineStr">
        <x:is>
          <x:t xml:space="preserve"/>
        </x:is>
      </x:c>
      <x:c r="G21" s="15" t="inlineStr">
        <x:is>
          <x:t xml:space="preserve"/>
        </x:is>
      </x:c>
    </x:row>
    <x:row r="22">
      <x:c r="A22" s="15" t="inlineStr">
        <x:is>
          <x:t xml:space="preserve">Billing &amp; Finance</x:t>
        </x:is>
      </x:c>
      <x:c r="B22" s="15" t="inlineStr">
        <x:is>
          <x:t xml:space="preserve">Billable events (storage, handling, VAS) are captured automatically at the point of work.</x:t>
        </x:is>
      </x:c>
      <x:c r="C22" s="16" t="n">
        <x:v>0</x:v>
      </x:c>
      <x:c r="D22" s="16" t="n">
        <x:v>1</x:v>
      </x:c>
      <x:c r="E22" s="13">
        <x:f>C22*D22</x:f>
        <x:v>0</x:v>
      </x:c>
      <x:c r="F22" s="15" t="inlineStr">
        <x:is>
          <x:t xml:space="preserve"/>
        </x:is>
      </x:c>
      <x:c r="G22" s="15" t="inlineStr">
        <x:is>
          <x:t xml:space="preserve"/>
        </x:is>
      </x:c>
    </x:row>
    <x:row r="23">
      <x:c r="A23" s="15" t="inlineStr">
        <x:is>
          <x:t xml:space="preserve">Billing &amp; Finance</x:t>
        </x:is>
      </x:c>
      <x:c r="B23" s="15" t="inlineStr">
        <x:is>
          <x:t xml:space="preserve">Customer invoices are generated from system data (minimal manual edits).</x:t>
        </x:is>
      </x:c>
      <x:c r="C23" s="16" t="n">
        <x:v>0</x:v>
      </x:c>
      <x:c r="D23" s="16" t="n">
        <x:v>1</x:v>
      </x:c>
      <x:c r="E23" s="13">
        <x:f>C23*D23</x:f>
        <x:v>0</x:v>
      </x:c>
      <x:c r="F23" s="15" t="inlineStr">
        <x:is>
          <x:t xml:space="preserve"/>
        </x:is>
      </x:c>
      <x:c r="G23" s="15" t="inlineStr">
        <x:is>
          <x:t xml:space="preserve"/>
        </x:is>
      </x:c>
    </x:row>
    <x:row r="24">
      <x:c r="A24" s="15" t="inlineStr">
        <x:is>
          <x:t xml:space="preserve">Billing &amp; Finance</x:t>
        </x:is>
      </x:c>
      <x:c r="B24" s="15" t="inlineStr">
        <x:is>
          <x:t xml:space="preserve">Accessorials and exceptions (rework, relabel, special handling) are billed consistently.</x:t>
        </x:is>
      </x:c>
      <x:c r="C24" s="16" t="n">
        <x:v>0</x:v>
      </x:c>
      <x:c r="D24" s="16" t="n">
        <x:v>1</x:v>
      </x:c>
      <x:c r="E24" s="13">
        <x:f>C24*D24</x:f>
        <x:v>0</x:v>
      </x:c>
      <x:c r="F24" s="15" t="inlineStr">
        <x:is>
          <x:t xml:space="preserve"/>
        </x:is>
      </x:c>
      <x:c r="G24" s="15" t="inlineStr">
        <x:is>
          <x:t xml:space="preserve"/>
        </x:is>
      </x:c>
    </x:row>
    <x:row r="25">
      <x:c r="A25" s="15" t="inlineStr">
        <x:is>
          <x:t xml:space="preserve">Billing &amp; Finance</x:t>
        </x:is>
      </x:c>
      <x:c r="B25" s="15" t="inlineStr">
        <x:is>
          <x:t xml:space="preserve">Disputes/chargebacks can be supported with system evidence (timestamps, scans, logs).</x:t>
        </x:is>
      </x:c>
      <x:c r="C25" s="16" t="n">
        <x:v>0</x:v>
      </x:c>
      <x:c r="D25" s="16" t="n">
        <x:v>1</x:v>
      </x:c>
      <x:c r="E25" s="13">
        <x:f>C25*D25</x:f>
        <x:v>0</x:v>
      </x:c>
      <x:c r="F25" s="15" t="inlineStr">
        <x:is>
          <x:t xml:space="preserve"/>
        </x:is>
      </x:c>
      <x:c r="G25" s="15" t="inlineStr">
        <x:is>
          <x:t xml:space="preserve"/>
        </x:is>
      </x:c>
    </x:row>
    <x:row r="26">
      <x:c r="A26" s="15" t="inlineStr">
        <x:is>
          <x:t xml:space="preserve">Customer Requirements &amp; SLAs</x:t>
        </x:is>
      </x:c>
      <x:c r="B26" s="15" t="inlineStr">
        <x:is>
          <x:t xml:space="preserve">SLAs are defined and measured (cutoffs, ship windows, accuracy) by customer.</x:t>
        </x:is>
      </x:c>
      <x:c r="C26" s="16" t="n">
        <x:v>0</x:v>
      </x:c>
      <x:c r="D26" s="16" t="n">
        <x:v>1</x:v>
      </x:c>
      <x:c r="E26" s="13">
        <x:f>C26*D26</x:f>
        <x:v>0</x:v>
      </x:c>
      <x:c r="F26" s="15" t="inlineStr">
        <x:is>
          <x:t xml:space="preserve"/>
        </x:is>
      </x:c>
      <x:c r="G26" s="15" t="inlineStr">
        <x:is>
          <x:t xml:space="preserve"/>
        </x:is>
      </x:c>
    </x:row>
    <x:row r="27">
      <x:c r="A27" s="15" t="inlineStr">
        <x:is>
          <x:t xml:space="preserve">Customer Requirements &amp; SLAs</x:t>
        </x:is>
      </x:c>
      <x:c r="B27" s="15" t="inlineStr">
        <x:is>
          <x:t xml:space="preserve">New customer onboarding has a repeatable playbook and system configuration steps.</x:t>
        </x:is>
      </x:c>
      <x:c r="C27" s="16" t="n">
        <x:v>0</x:v>
      </x:c>
      <x:c r="D27" s="16" t="n">
        <x:v>1</x:v>
      </x:c>
      <x:c r="E27" s="13">
        <x:f>C27*D27</x:f>
        <x:v>0</x:v>
      </x:c>
      <x:c r="F27" s="15" t="inlineStr">
        <x:is>
          <x:t xml:space="preserve"/>
        </x:is>
      </x:c>
      <x:c r="G27" s="15" t="inlineStr">
        <x:is>
          <x:t xml:space="preserve"/>
        </x:is>
      </x:c>
    </x:row>
    <x:row r="28">
      <x:c r="A28" s="15" t="inlineStr">
        <x:is>
          <x:t xml:space="preserve">Customer Requirements &amp; SLAs</x:t>
        </x:is>
      </x:c>
      <x:c r="B28" s="15" t="inlineStr">
        <x:is>
          <x:t xml:space="preserve">Customer reporting requirements are met without manual spreadsheet assembly.</x:t>
        </x:is>
      </x:c>
      <x:c r="C28" s="16" t="n">
        <x:v>0</x:v>
      </x:c>
      <x:c r="D28" s="16" t="n">
        <x:v>1</x:v>
      </x:c>
      <x:c r="E28" s="13">
        <x:f>C28*D28</x:f>
        <x:v>0</x:v>
      </x:c>
      <x:c r="F28" s="15" t="inlineStr">
        <x:is>
          <x:t xml:space="preserve"/>
        </x:is>
      </x:c>
      <x:c r="G28" s="15" t="inlineStr">
        <x:is>
          <x:t xml:space="preserve"/>
        </x:is>
      </x:c>
    </x:row>
    <x:row r="29">
      <x:c r="A29" s="15" t="inlineStr">
        <x:is>
          <x:t xml:space="preserve">Integrations &amp; Data Flow</x:t>
        </x:is>
      </x:c>
      <x:c r="B29" s="15" t="inlineStr">
        <x:is>
          <x:t xml:space="preserve">WMS/ERP/EDI/Shipping systems are integrated (near real-time, minimal manual transfers).</x:t>
        </x:is>
      </x:c>
      <x:c r="C29" s="16" t="n">
        <x:v>0</x:v>
      </x:c>
      <x:c r="D29" s="16" t="n">
        <x:v>1</x:v>
      </x:c>
      <x:c r="E29" s="13">
        <x:f>C29*D29</x:f>
        <x:v>0</x:v>
      </x:c>
      <x:c r="F29" s="15" t="inlineStr">
        <x:is>
          <x:t xml:space="preserve"/>
        </x:is>
      </x:c>
      <x:c r="G29" s="15" t="inlineStr">
        <x:is>
          <x:t xml:space="preserve"/>
        </x:is>
      </x:c>
    </x:row>
    <x:row r="30">
      <x:c r="A30" s="15" t="inlineStr">
        <x:is>
          <x:t xml:space="preserve">Integrations &amp; Data Flow</x:t>
        </x:is>
      </x:c>
      <x:c r="B30" s="15" t="inlineStr">
        <x:is>
          <x:t xml:space="preserve">Master data changes (items, UOMs, customers) have clear ownership and sync rules.</x:t>
        </x:is>
      </x:c>
      <x:c r="C30" s="16" t="n">
        <x:v>0</x:v>
      </x:c>
      <x:c r="D30" s="16" t="n">
        <x:v>1</x:v>
      </x:c>
      <x:c r="E30" s="13">
        <x:f>C30*D30</x:f>
        <x:v>0</x:v>
      </x:c>
      <x:c r="F30" s="15" t="inlineStr">
        <x:is>
          <x:t xml:space="preserve"/>
        </x:is>
      </x:c>
      <x:c r="G30" s="15" t="inlineStr">
        <x:is>
          <x:t xml:space="preserve"/>
        </x:is>
      </x:c>
    </x:row>
    <x:row r="31">
      <x:c r="A31" s="15" t="inlineStr">
        <x:is>
          <x:t xml:space="preserve">Integrations &amp; Data Flow</x:t>
        </x:is>
      </x:c>
      <x:c r="B31" s="15" t="inlineStr">
        <x:is>
          <x:t xml:space="preserve">Data quality checks exist (duplicates, missing fields) before data hits operations.</x:t>
        </x:is>
      </x:c>
      <x:c r="C31" s="16" t="n">
        <x:v>0</x:v>
      </x:c>
      <x:c r="D31" s="16" t="n">
        <x:v>1</x:v>
      </x:c>
      <x:c r="E31" s="13">
        <x:f>C31*D31</x:f>
        <x:v>0</x:v>
      </x:c>
      <x:c r="F31" s="15" t="inlineStr">
        <x:is>
          <x:t xml:space="preserve"/>
        </x:is>
      </x:c>
      <x:c r="G31" s="15" t="inlineStr">
        <x:is>
          <x:t xml:space="preserve"/>
        </x:is>
      </x:c>
    </x:row>
    <x:row r="32">
      <x:c r="A32" s="15" t="inlineStr">
        <x:is>
          <x:t xml:space="preserve">Integrations &amp; Data Flow</x:t>
        </x:is>
      </x:c>
      <x:c r="B32" s="15" t="inlineStr">
        <x:is>
          <x:t xml:space="preserve">Operational data is available for analytics without manual exports.</x:t>
        </x:is>
      </x:c>
      <x:c r="C32" s="16" t="n">
        <x:v>0</x:v>
      </x:c>
      <x:c r="D32" s="16" t="n">
        <x:v>1</x:v>
      </x:c>
      <x:c r="E32" s="13">
        <x:f>C32*D32</x:f>
        <x:v>0</x:v>
      </x:c>
      <x:c r="F32" s="15" t="inlineStr">
        <x:is>
          <x:t xml:space="preserve"/>
        </x:is>
      </x:c>
      <x:c r="G32" s="15" t="inlineStr">
        <x:is>
          <x:t xml:space="preserve"/>
        </x:is>
      </x:c>
    </x:row>
    <x:row r="33">
      <x:c r="A33" s="15" t="inlineStr">
        <x:is>
          <x:t xml:space="preserve">Reporting &amp; Analytics</x:t>
        </x:is>
      </x:c>
      <x:c r="B33" s="15" t="inlineStr">
        <x:is>
          <x:t xml:space="preserve">Daily operational KPIs are visible without manual spreadsheet consolidation.</x:t>
        </x:is>
      </x:c>
      <x:c r="C33" s="16" t="n">
        <x:v>0</x:v>
      </x:c>
      <x:c r="D33" s="16" t="n">
        <x:v>1</x:v>
      </x:c>
      <x:c r="E33" s="13">
        <x:f>C33*D33</x:f>
        <x:v>0</x:v>
      </x:c>
      <x:c r="F33" s="15" t="inlineStr">
        <x:is>
          <x:t xml:space="preserve"/>
        </x:is>
      </x:c>
      <x:c r="G33" s="15" t="inlineStr">
        <x:is>
          <x:t xml:space="preserve"/>
        </x:is>
      </x:c>
    </x:row>
    <x:row r="34">
      <x:c r="A34" s="15" t="inlineStr">
        <x:is>
          <x:t xml:space="preserve">Reporting &amp; Analytics</x:t>
        </x:is>
      </x:c>
      <x:c r="B34" s="15" t="inlineStr">
        <x:is>
          <x:t xml:space="preserve">You can attribute labor/time to customers, workflows, or value-added services.</x:t>
        </x:is>
      </x:c>
      <x:c r="C34" s="16" t="n">
        <x:v>0</x:v>
      </x:c>
      <x:c r="D34" s="16" t="n">
        <x:v>1</x:v>
      </x:c>
      <x:c r="E34" s="13">
        <x:f>C34*D34</x:f>
        <x:v>0</x:v>
      </x:c>
      <x:c r="F34" s="15" t="inlineStr">
        <x:is>
          <x:t xml:space="preserve"/>
        </x:is>
      </x:c>
      <x:c r="G34" s="15" t="inlineStr">
        <x:is>
          <x:t xml:space="preserve"/>
        </x:is>
      </x:c>
    </x:row>
    <x:row r="35">
      <x:c r="A35" s="15" t="inlineStr">
        <x:is>
          <x:t xml:space="preserve">Reporting &amp; Analytics</x:t>
        </x:is>
      </x:c>
      <x:c r="B35" s="15" t="inlineStr">
        <x:is>
          <x:t xml:space="preserve">Root-cause analysis is possible (where errors happened, who/when/why).</x:t>
        </x:is>
      </x:c>
      <x:c r="C35" s="16" t="n">
        <x:v>0</x:v>
      </x:c>
      <x:c r="D35" s="16" t="n">
        <x:v>1</x:v>
      </x:c>
      <x:c r="E35" s="13">
        <x:f>C35*D35</x:f>
        <x:v>0</x:v>
      </x:c>
      <x:c r="F35" s="15" t="inlineStr">
        <x:is>
          <x:t xml:space="preserve"/>
        </x:is>
      </x:c>
      <x:c r="G35" s="15" t="inlineStr">
        <x:is>
          <x:t xml:space="preserve"/>
        </x:is>
      </x:c>
    </x:row>
    <x:row r="36">
      <x:c r="A36" s="15" t="inlineStr">
        <x:is>
          <x:t xml:space="preserve">Exception Management</x:t>
        </x:is>
      </x:c>
      <x:c r="B36" s="15" t="inlineStr">
        <x:is>
          <x:t xml:space="preserve">Most 'fires' are preventable with system guardrails and alerts (not tribal knowledge).</x:t>
        </x:is>
      </x:c>
      <x:c r="C36" s="16" t="n">
        <x:v>0</x:v>
      </x:c>
      <x:c r="D36" s="16" t="n">
        <x:v>1</x:v>
      </x:c>
      <x:c r="E36" s="13">
        <x:f>C36*D36</x:f>
        <x:v>0</x:v>
      </x:c>
      <x:c r="F36" s="15" t="inlineStr">
        <x:is>
          <x:t xml:space="preserve"/>
        </x:is>
      </x:c>
      <x:c r="G36" s="15" t="inlineStr">
        <x:is>
          <x:t xml:space="preserve"/>
        </x:is>
      </x:c>
    </x:row>
    <x:row r="37">
      <x:c r="A37" s="15" t="inlineStr">
        <x:is>
          <x:t xml:space="preserve">Exception Management</x:t>
        </x:is>
      </x:c>
      <x:c r="B37" s="15" t="inlineStr">
        <x:is>
          <x:t xml:space="preserve">There is a defined rollback/contingency for new process changes and system updates.</x:t>
        </x:is>
      </x:c>
      <x:c r="C37" s="16" t="n">
        <x:v>0</x:v>
      </x:c>
      <x:c r="D37" s="16" t="n">
        <x:v>1</x:v>
      </x:c>
      <x:c r="E37" s="13">
        <x:f>C37*D37</x:f>
        <x:v>0</x:v>
      </x:c>
      <x:c r="F37" s="15" t="inlineStr">
        <x:is>
          <x:t xml:space="preserve"/>
        </x:is>
      </x:c>
      <x:c r="G37" s="15" t="inlineStr">
        <x:is>
          <x:t xml:space="preserve"/>
        </x:is>
      </x:c>
    </x:row>
    <x:row r="38">
      <x:c r="A38" s="15" t="inlineStr">
        <x:is>
          <x:t xml:space="preserve">Labor &amp; Productivity</x:t>
        </x:is>
      </x:c>
      <x:c r="B38" s="15" t="inlineStr">
        <x:is>
          <x:t xml:space="preserve">Labor standards exist and are measured (units/hour, touches/order, dock-to-stock time).</x:t>
        </x:is>
      </x:c>
      <x:c r="C38" s="16" t="n">
        <x:v>0</x:v>
      </x:c>
      <x:c r="D38" s="16" t="n">
        <x:v>1</x:v>
      </x:c>
      <x:c r="E38" s="13">
        <x:f>C38*D38</x:f>
        <x:v>0</x:v>
      </x:c>
      <x:c r="F38" s="15" t="inlineStr">
        <x:is>
          <x:t xml:space="preserve"/>
        </x:is>
      </x:c>
      <x:c r="G38" s="15" t="inlineStr">
        <x:is>
          <x:t xml:space="preserve"/>
        </x:is>
      </x:c>
    </x:row>
    <x:row r="39">
      <x:c r="A39" s="15" t="inlineStr">
        <x:is>
          <x:t xml:space="preserve">Labor &amp; Productivity</x:t>
        </x:is>
      </x:c>
      <x:c r="B39" s="15" t="inlineStr">
        <x:is>
          <x:t xml:space="preserve">Work is balanced across waves/teams using system visibility (not ad hoc dispatch).</x:t>
        </x:is>
      </x:c>
      <x:c r="C39" s="16" t="n">
        <x:v>0</x:v>
      </x:c>
      <x:c r="D39" s="16" t="n">
        <x:v>1</x:v>
      </x:c>
      <x:c r="E39" s="13">
        <x:f>C39*D39</x:f>
        <x:v>0</x:v>
      </x:c>
      <x:c r="F39" s="15" t="inlineStr">
        <x:is>
          <x:t xml:space="preserve"/>
        </x:is>
      </x:c>
      <x:c r="G39" s="15" t="inlineStr">
        <x:is>
          <x:t xml:space="preserve"/>
        </x:is>
      </x:c>
    </x:row>
  </x:sheetData>
  <x:mergeCells>
    <x:mergeCell ref="A1:G1"/>
    <x:mergeCell ref="I1:L1"/>
    <x:mergeCell ref="A3:G3"/>
    <x:mergeCell ref="A4:G4"/>
    <x:mergeCell ref="A2:G2"/>
    <x:mergeCell ref="J4:L4"/>
    <x:mergeCell ref="J3:L3"/>
  </x:mergeCells>
  <x:pageMargins left="0.7" right="0.7" top="0.75" bottom="0.75" header="0.3" footer="0.3"/>
  <x:drawing xmlns:r="http://schemas.openxmlformats.org/officeDocument/2006/relationships" r:id="R423117c956a2424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46" customWidth="1"/>
    <x:col min="4" max="4" width="16" customWidth="1"/>
    <x:col min="5" max="5" width="16" customWidth="1"/>
    <x:col min="6" max="6" width="16" customWidth="1"/>
    <x:col min="7" max="7" width="14" customWidth="1"/>
    <x:col min="8" max="8" width="14" customWidth="1"/>
    <x:col min="9" max="9" width="12" customWidth="1"/>
    <x:col min="10" max="10" width="16" customWidth="1"/>
    <x:col min="11" max="11" width="18" customWidth="1"/>
    <x:col min="12" max="12" width="30" customWidth="1"/>
    <x:col min="14" max="14" width="24" customWidth="1"/>
    <x:col min="15" max="15" width="18" customWidth="1"/>
  </x:cols>
  <x:sheetData>
    <x:row r="1">
      <x:c r="A1" s="5" t="inlineStr">
        <x:is>
          <x:t xml:space="preserve">System Gap Audit Checklist (WMS / ERP / EDI / Shipping / BI)</x:t>
        </x:is>
      </x:c>
      <x:c r="N1" s="6" t="inlineStr">
        <x:is>
          <x:t xml:space="preserve">Audit Summary</x:t>
        </x:is>
      </x:c>
    </x:row>
    <x:row r="2">
      <x:c r="A2" s="4" t="inlineStr">
        <x:is>
          <x:t xml:space="preserve">Purpose: map where your systems fall short of operational reality and customer requirements—then quantify impact and prioritize fixes.</x:t>
        </x:is>
      </x:c>
      <x:c r="N2" s="2" t="inlineStr">
        <x:is>
          <x:t xml:space="preserve">Total gaps (non-empty)</x:t>
        </x:is>
      </x:c>
      <x:c r="O2" s="20">
        <x:f>COUNTIF(E8:E46,"&lt;&gt;" )</x:f>
        <x:v>0</x:v>
      </x:c>
    </x:row>
    <x:row r="3">
      <x:c r="A3" s="4" t="inlineStr">
        <x:is>
          <x:t xml:space="preserve">Tip: focus on gaps that (a) happen daily, (b) create rework/errors, or (c) block customer onboarding.</x:t>
        </x:is>
      </x:c>
      <x:c r="N3" s="2" t="inlineStr">
        <x:is>
          <x:t xml:space="preserve">Critical gaps</x:t>
        </x:is>
      </x:c>
      <x:c r="O3" s="20">
        <x:f>COUNTIF(G8:G46,"Critical")</x:f>
        <x:v>0</x:v>
      </x:c>
    </x:row>
    <x:row r="4">
      <x:c r="N4" s="2" t="inlineStr">
        <x:is>
          <x:t xml:space="preserve">Spreadsheet workarounds</x:t>
        </x:is>
      </x:c>
      <x:c r="O4" s="20">
        <x:f>COUNTIF(F8:F46,"Spreadsheet")</x:f>
        <x:v>0</x:v>
      </x:c>
    </x:row>
    <x:row r="5">
      <x:c r="A5" s="21" t="inlineStr">
        <x:is>
          <x:t xml:space="preserve">Labor rate ($/hr)</x:t>
        </x:is>
      </x:c>
      <x:c r="B5" s="10" t="n">
        <x:v>25</x:v>
      </x:c>
      <x:c r="D5" s="21" t="inlineStr">
        <x:is>
          <x:t xml:space="preserve">Company</x:t>
        </x:is>
      </x:c>
      <x:c r="E5" s="10" t="inlineStr">
        <x:is>
          <x:t xml:space="preserve"/>
        </x:is>
      </x:c>
      <x:c r="G5" s="21" t="inlineStr">
        <x:is>
          <x:t xml:space="preserve">Date</x:t>
        </x:is>
      </x:c>
      <x:c r="H5" s="10" t="inlineStr">
        <x:is>
          <x:t xml:space="preserve">2025-12-17</x:t>
        </x:is>
      </x:c>
      <x:c r="N5" s="2" t="inlineStr">
        <x:is>
          <x:t xml:space="preserve">Est. $ impact / month</x:t>
        </x:is>
      </x:c>
      <x:c r="O5" s="22">
        <x:f>SUM(K8:K46)</x:f>
        <x:v>0</x:v>
      </x:c>
    </x:row>
    <x:row r="7">
      <x:c r="A7" s="11" t="inlineStr">
        <x:is>
          <x:t xml:space="preserve">Domain</x:t>
        </x:is>
      </x:c>
      <x:c r="B7" s="11" t="inlineStr">
        <x:is>
          <x:t xml:space="preserve">Workflow Step</x:t>
        </x:is>
      </x:c>
      <x:c r="C7" s="11" t="inlineStr">
        <x:is>
          <x:t xml:space="preserve">Capability / Requirement</x:t>
        </x:is>
      </x:c>
      <x:c r="D7" s="11" t="inlineStr">
        <x:is>
          <x:t xml:space="preserve">Primary System</x:t>
        </x:is>
      </x:c>
      <x:c r="E7" s="11" t="inlineStr">
        <x:is>
          <x:t xml:space="preserve">Current State</x:t>
        </x:is>
      </x:c>
      <x:c r="F7" s="11" t="inlineStr">
        <x:is>
          <x:t xml:space="preserve">Workaround Type</x:t>
        </x:is>
      </x:c>
      <x:c r="G7" s="11" t="inlineStr">
        <x:is>
          <x:t xml:space="preserve">Gap Severity</x:t>
        </x:is>
      </x:c>
      <x:c r="H7" s="11" t="inlineStr">
        <x:is>
          <x:t xml:space="preserve">Frequency</x:t>
        </x:is>
      </x:c>
      <x:c r="I7" s="11" t="inlineStr">
        <x:is>
          <x:t xml:space="preserve">Owner</x:t>
        </x:is>
      </x:c>
      <x:c r="J7" s="11" t="inlineStr">
        <x:is>
          <x:t xml:space="preserve">Hours Lost / Month</x:t>
        </x:is>
      </x:c>
      <x:c r="K7" s="11" t="inlineStr">
        <x:is>
          <x:t xml:space="preserve">Est. $ Impact / Month</x:t>
        </x:is>
      </x:c>
      <x:c r="L7" s="11" t="inlineStr">
        <x:is>
          <x:t xml:space="preserve">Notes</x:t>
        </x:is>
      </x:c>
      <x:c r="N7" s="2" t="inlineStr">
        <x:is>
          <x:t xml:space="preserve">Next step</x:t>
        </x:is>
      </x:c>
    </x:row>
    <x:row r="8">
      <x:c r="A8" s="12" t="inlineStr">
        <x:is>
          <x:t xml:space="preserve">Order Mgmt</x:t>
        </x:is>
      </x:c>
      <x:c r="B8" s="12" t="inlineStr">
        <x:is>
          <x:t xml:space="preserve">Order Intake</x:t>
        </x:is>
      </x:c>
      <x:c r="C8" s="15" t="inlineStr">
        <x:is>
          <x:t xml:space="preserve">Import orders from EDI/API without manual re-keying</x:t>
        </x:is>
      </x:c>
      <x:c r="D8" s="16" t="inlineStr">
        <x:is>
          <x:t xml:space="preserve"/>
        </x:is>
      </x:c>
      <x:c r="E8" s="16" t="inlineStr">
        <x:is>
          <x:t xml:space="preserve"/>
        </x:is>
      </x:c>
      <x:c r="F8" s="16" t="inlineStr">
        <x:is>
          <x:t xml:space="preserve"/>
        </x:is>
      </x:c>
      <x:c r="G8" s="16" t="inlineStr">
        <x:is>
          <x:t xml:space="preserve"/>
        </x:is>
      </x:c>
      <x:c r="H8" s="16" t="inlineStr">
        <x:is>
          <x:t xml:space="preserve"/>
        </x:is>
      </x:c>
      <x:c r="I8" s="16" t="inlineStr">
        <x:is>
          <x:t xml:space="preserve"/>
        </x:is>
      </x:c>
      <x:c r="J8" s="16" t="inlineStr">
        <x:is>
          <x:t xml:space="preserve"/>
        </x:is>
      </x:c>
      <x:c r="K8" s="23">
        <x:f>IF(J8="",0,J8)*$B$5</x:f>
        <x:v>0</x:v>
      </x:c>
      <x:c r="L8" s="15" t="inlineStr">
        <x:is>
          <x:t xml:space="preserve"/>
        </x:is>
      </x:c>
      <x:c r="N8" s="4" t="inlineStr">
        <x:is>
          <x:t xml:space="preserve">If the estimated impact is meaningful, the 1-week Strategy Assessment turns this into a prioritized roadmap with ROI projections.</x:t>
        </x:is>
      </x:c>
    </x:row>
    <x:row r="9">
      <x:c r="A9" s="12" t="inlineStr">
        <x:is>
          <x:t xml:space="preserve">Order Mgmt</x:t>
        </x:is>
      </x:c>
      <x:c r="B9" s="12" t="inlineStr">
        <x:is>
          <x:t xml:space="preserve">Order Intake</x:t>
        </x:is>
      </x:c>
      <x:c r="C9" s="15" t="inlineStr">
        <x:is>
          <x:t xml:space="preserve">Validate orders for missing/invalid fields before release</x:t>
        </x:is>
      </x:c>
      <x:c r="D9" s="16" t="inlineStr">
        <x:is>
          <x:t xml:space="preserve"/>
        </x:is>
      </x:c>
      <x:c r="E9" s="16" t="inlineStr">
        <x:is>
          <x:t xml:space="preserve"/>
        </x:is>
      </x:c>
      <x:c r="F9" s="16" t="inlineStr">
        <x:is>
          <x:t xml:space="preserve"/>
        </x:is>
      </x:c>
      <x:c r="G9" s="16" t="inlineStr">
        <x:is>
          <x:t xml:space="preserve"/>
        </x:is>
      </x:c>
      <x:c r="H9" s="16" t="inlineStr">
        <x:is>
          <x:t xml:space="preserve"/>
        </x:is>
      </x:c>
      <x:c r="I9" s="16" t="inlineStr">
        <x:is>
          <x:t xml:space="preserve"/>
        </x:is>
      </x:c>
      <x:c r="J9" s="16" t="inlineStr">
        <x:is>
          <x:t xml:space="preserve"/>
        </x:is>
      </x:c>
      <x:c r="K9" s="23">
        <x:f>IF(J9="",0,J9)*$B$5</x:f>
        <x:v>0</x:v>
      </x:c>
      <x:c r="L9" s="15" t="inlineStr">
        <x:is>
          <x:t xml:space="preserve"/>
        </x:is>
      </x:c>
    </x:row>
    <x:row r="10">
      <x:c r="A10" s="12" t="inlineStr">
        <x:is>
          <x:t xml:space="preserve">Order Mgmt</x:t>
        </x:is>
      </x:c>
      <x:c r="B10" s="12" t="inlineStr">
        <x:is>
          <x:t xml:space="preserve">Allocation</x:t>
        </x:is>
      </x:c>
      <x:c r="C10" s="15" t="inlineStr">
        <x:is>
          <x:t xml:space="preserve">Support customer-specific allocation rules (FIFO/FEFO/lot)</x:t>
        </x:is>
      </x:c>
      <x:c r="D10" s="16" t="inlineStr">
        <x:is>
          <x:t xml:space="preserve"/>
        </x:is>
      </x:c>
      <x:c r="E10" s="16" t="inlineStr">
        <x:is>
          <x:t xml:space="preserve"/>
        </x:is>
      </x:c>
      <x:c r="F10" s="16" t="inlineStr">
        <x:is>
          <x:t xml:space="preserve"/>
        </x:is>
      </x:c>
      <x:c r="G10" s="16" t="inlineStr">
        <x:is>
          <x:t xml:space="preserve"/>
        </x:is>
      </x:c>
      <x:c r="H10" s="16" t="inlineStr">
        <x:is>
          <x:t xml:space="preserve"/>
        </x:is>
      </x:c>
      <x:c r="I10" s="16" t="inlineStr">
        <x:is>
          <x:t xml:space="preserve"/>
        </x:is>
      </x:c>
      <x:c r="J10" s="16" t="inlineStr">
        <x:is>
          <x:t xml:space="preserve"/>
        </x:is>
      </x:c>
      <x:c r="K10" s="23">
        <x:f>IF(J10="",0,J10)*$B$5</x:f>
        <x:v>0</x:v>
      </x:c>
      <x:c r="L10" s="15" t="inlineStr">
        <x:is>
          <x:t xml:space="preserve"/>
        </x:is>
      </x:c>
    </x:row>
    <x:row r="11">
      <x:c r="A11" s="12" t="inlineStr">
        <x:is>
          <x:t xml:space="preserve">Order Mgmt</x:t>
        </x:is>
      </x:c>
      <x:c r="B11" s="12" t="inlineStr">
        <x:is>
          <x:t xml:space="preserve">Wave/Release</x:t>
        </x:is>
      </x:c>
      <x:c r="C11" s="15" t="inlineStr">
        <x:is>
          <x:t xml:space="preserve">Support cutoffs, priority shipping, and batching logic</x:t>
        </x:is>
      </x:c>
      <x:c r="D11" s="16" t="inlineStr">
        <x:is>
          <x:t xml:space="preserve"/>
        </x:is>
      </x:c>
      <x:c r="E11" s="16" t="inlineStr">
        <x:is>
          <x:t xml:space="preserve"/>
        </x:is>
      </x:c>
      <x:c r="F11" s="16" t="inlineStr">
        <x:is>
          <x:t xml:space="preserve"/>
        </x:is>
      </x:c>
      <x:c r="G11" s="16" t="inlineStr">
        <x:is>
          <x:t xml:space="preserve"/>
        </x:is>
      </x:c>
      <x:c r="H11" s="16" t="inlineStr">
        <x:is>
          <x:t xml:space="preserve"/>
        </x:is>
      </x:c>
      <x:c r="I11" s="16" t="inlineStr">
        <x:is>
          <x:t xml:space="preserve"/>
        </x:is>
      </x:c>
      <x:c r="J11" s="16" t="inlineStr">
        <x:is>
          <x:t xml:space="preserve"/>
        </x:is>
      </x:c>
      <x:c r="K11" s="23">
        <x:f>IF(J11="",0,J11)*$B$5</x:f>
        <x:v>0</x:v>
      </x:c>
      <x:c r="L11" s="15" t="inlineStr">
        <x:is>
          <x:t xml:space="preserve"/>
        </x:is>
      </x:c>
    </x:row>
    <x:row r="12">
      <x:c r="A12" s="12" t="inlineStr">
        <x:is>
          <x:t xml:space="preserve">Order Mgmt</x:t>
        </x:is>
      </x:c>
      <x:c r="B12" s="12" t="inlineStr">
        <x:is>
          <x:t xml:space="preserve">Exceptions</x:t>
        </x:is>
      </x:c>
      <x:c r="C12" s="15" t="inlineStr">
        <x:is>
          <x:t xml:space="preserve">Handle holds, backorders, substitutions with visibility</x:t>
        </x:is>
      </x:c>
      <x:c r="D12" s="16" t="inlineStr">
        <x:is>
          <x:t xml:space="preserve"/>
        </x:is>
      </x:c>
      <x:c r="E12" s="16" t="inlineStr">
        <x:is>
          <x:t xml:space="preserve"/>
        </x:is>
      </x:c>
      <x:c r="F12" s="16" t="inlineStr">
        <x:is>
          <x:t xml:space="preserve"/>
        </x:is>
      </x:c>
      <x:c r="G12" s="16" t="inlineStr">
        <x:is>
          <x:t xml:space="preserve"/>
        </x:is>
      </x:c>
      <x:c r="H12" s="16" t="inlineStr">
        <x:is>
          <x:t xml:space="preserve"/>
        </x:is>
      </x:c>
      <x:c r="I12" s="16" t="inlineStr">
        <x:is>
          <x:t xml:space="preserve"/>
        </x:is>
      </x:c>
      <x:c r="J12" s="16" t="inlineStr">
        <x:is>
          <x:t xml:space="preserve"/>
        </x:is>
      </x:c>
      <x:c r="K12" s="23">
        <x:f>IF(J12="",0,J12)*$B$5</x:f>
        <x:v>0</x:v>
      </x:c>
      <x:c r="L12" s="15" t="inlineStr">
        <x:is>
          <x:t xml:space="preserve"/>
        </x:is>
      </x:c>
    </x:row>
    <x:row r="13">
      <x:c r="A13" s="12" t="inlineStr">
        <x:is>
          <x:t xml:space="preserve">Receiving</x:t>
        </x:is>
      </x:c>
      <x:c r="B13" s="12" t="inlineStr">
        <x:is>
          <x:t xml:space="preserve">Inbound</x:t>
        </x:is>
      </x:c>
      <x:c r="C13" s="15" t="inlineStr">
        <x:is>
          <x:t xml:space="preserve">Appointments/ASNs visible to dock teams</x:t>
        </x:is>
      </x:c>
      <x:c r="D13" s="16" t="inlineStr">
        <x:is>
          <x:t xml:space="preserve"/>
        </x:is>
      </x:c>
      <x:c r="E13" s="16" t="inlineStr">
        <x:is>
          <x:t xml:space="preserve"/>
        </x:is>
      </x:c>
      <x:c r="F13" s="16" t="inlineStr">
        <x:is>
          <x:t xml:space="preserve"/>
        </x:is>
      </x:c>
      <x:c r="G13" s="16" t="inlineStr">
        <x:is>
          <x:t xml:space="preserve"/>
        </x:is>
      </x:c>
      <x:c r="H13" s="16" t="inlineStr">
        <x:is>
          <x:t xml:space="preserve"/>
        </x:is>
      </x:c>
      <x:c r="I13" s="16" t="inlineStr">
        <x:is>
          <x:t xml:space="preserve"/>
        </x:is>
      </x:c>
      <x:c r="J13" s="16" t="inlineStr">
        <x:is>
          <x:t xml:space="preserve"/>
        </x:is>
      </x:c>
      <x:c r="K13" s="23">
        <x:f>IF(J13="",0,J13)*$B$5</x:f>
        <x:v>0</x:v>
      </x:c>
      <x:c r="L13" s="15" t="inlineStr">
        <x:is>
          <x:t xml:space="preserve"/>
        </x:is>
      </x:c>
    </x:row>
    <x:row r="14">
      <x:c r="A14" s="12" t="inlineStr">
        <x:is>
          <x:t xml:space="preserve">Receiving</x:t>
        </x:is>
      </x:c>
      <x:c r="B14" s="12" t="inlineStr">
        <x:is>
          <x:t xml:space="preserve">Inbound</x:t>
        </x:is>
      </x:c>
      <x:c r="C14" s="15" t="inlineStr">
        <x:is>
          <x:t xml:space="preserve">Scan-based receiving with mismatch alerts</x:t>
        </x:is>
      </x:c>
      <x:c r="D14" s="16" t="inlineStr">
        <x:is>
          <x:t xml:space="preserve"/>
        </x:is>
      </x:c>
      <x:c r="E14" s="16" t="inlineStr">
        <x:is>
          <x:t xml:space="preserve"/>
        </x:is>
      </x:c>
      <x:c r="F14" s="16" t="inlineStr">
        <x:is>
          <x:t xml:space="preserve"/>
        </x:is>
      </x:c>
      <x:c r="G14" s="16" t="inlineStr">
        <x:is>
          <x:t xml:space="preserve"/>
        </x:is>
      </x:c>
      <x:c r="H14" s="16" t="inlineStr">
        <x:is>
          <x:t xml:space="preserve"/>
        </x:is>
      </x:c>
      <x:c r="I14" s="16" t="inlineStr">
        <x:is>
          <x:t xml:space="preserve"/>
        </x:is>
      </x:c>
      <x:c r="J14" s="16" t="inlineStr">
        <x:is>
          <x:t xml:space="preserve"/>
        </x:is>
      </x:c>
      <x:c r="K14" s="23">
        <x:f>IF(J14="",0,J14)*$B$5</x:f>
        <x:v>0</x:v>
      </x:c>
      <x:c r="L14" s="15" t="inlineStr">
        <x:is>
          <x:t xml:space="preserve"/>
        </x:is>
      </x:c>
    </x:row>
    <x:row r="15">
      <x:c r="A15" s="12" t="inlineStr">
        <x:is>
          <x:t xml:space="preserve">Receiving</x:t>
        </x:is>
      </x:c>
      <x:c r="B15" s="12" t="inlineStr">
        <x:is>
          <x:t xml:space="preserve">Inbound</x:t>
        </x:is>
      </x:c>
      <x:c r="C15" s="15" t="inlineStr">
        <x:is>
          <x:t xml:space="preserve">Capture carton/pallet labels and link to receipts</x:t>
        </x:is>
      </x:c>
      <x:c r="D15" s="16" t="inlineStr">
        <x:is>
          <x:t xml:space="preserve"/>
        </x:is>
      </x:c>
      <x:c r="E15" s="16" t="inlineStr">
        <x:is>
          <x:t xml:space="preserve"/>
        </x:is>
      </x:c>
      <x:c r="F15" s="16" t="inlineStr">
        <x:is>
          <x:t xml:space="preserve"/>
        </x:is>
      </x:c>
      <x:c r="G15" s="16" t="inlineStr">
        <x:is>
          <x:t xml:space="preserve"/>
        </x:is>
      </x:c>
      <x:c r="H15" s="16" t="inlineStr">
        <x:is>
          <x:t xml:space="preserve"/>
        </x:is>
      </x:c>
      <x:c r="I15" s="16" t="inlineStr">
        <x:is>
          <x:t xml:space="preserve"/>
        </x:is>
      </x:c>
      <x:c r="J15" s="16" t="inlineStr">
        <x:is>
          <x:t xml:space="preserve"/>
        </x:is>
      </x:c>
      <x:c r="K15" s="23">
        <x:f>IF(J15="",0,J15)*$B$5</x:f>
        <x:v>0</x:v>
      </x:c>
      <x:c r="L15" s="15" t="inlineStr">
        <x:is>
          <x:t xml:space="preserve"/>
        </x:is>
      </x:c>
    </x:row>
    <x:row r="16">
      <x:c r="A16" s="12" t="inlineStr">
        <x:is>
          <x:t xml:space="preserve">Receiving</x:t>
        </x:is>
      </x:c>
      <x:c r="B16" s="12" t="inlineStr">
        <x:is>
          <x:t xml:space="preserve">Discrepancies</x:t>
        </x:is>
      </x:c>
      <x:c r="C16" s="15" t="inlineStr">
        <x:is>
          <x:t xml:space="preserve">Over/short/damage capture with photo/evidence</x:t>
        </x:is>
      </x:c>
      <x:c r="D16" s="16" t="inlineStr">
        <x:is>
          <x:t xml:space="preserve"/>
        </x:is>
      </x:c>
      <x:c r="E16" s="16" t="inlineStr">
        <x:is>
          <x:t xml:space="preserve"/>
        </x:is>
      </x:c>
      <x:c r="F16" s="16" t="inlineStr">
        <x:is>
          <x:t xml:space="preserve"/>
        </x:is>
      </x:c>
      <x:c r="G16" s="16" t="inlineStr">
        <x:is>
          <x:t xml:space="preserve"/>
        </x:is>
      </x:c>
      <x:c r="H16" s="16" t="inlineStr">
        <x:is>
          <x:t xml:space="preserve"/>
        </x:is>
      </x:c>
      <x:c r="I16" s="16" t="inlineStr">
        <x:is>
          <x:t xml:space="preserve"/>
        </x:is>
      </x:c>
      <x:c r="J16" s="16" t="inlineStr">
        <x:is>
          <x:t xml:space="preserve"/>
        </x:is>
      </x:c>
      <x:c r="K16" s="23">
        <x:f>IF(J16="",0,J16)*$B$5</x:f>
        <x:v>0</x:v>
      </x:c>
      <x:c r="L16" s="15" t="inlineStr">
        <x:is>
          <x:t xml:space="preserve"/>
        </x:is>
      </x:c>
    </x:row>
    <x:row r="17">
      <x:c r="A17" s="12" t="inlineStr">
        <x:is>
          <x:t xml:space="preserve">Receiving</x:t>
        </x:is>
      </x:c>
      <x:c r="B17" s="12" t="inlineStr">
        <x:is>
          <x:t xml:space="preserve">Putaway</x:t>
        </x:is>
      </x:c>
      <x:c r="C17" s="15" t="inlineStr">
        <x:is>
          <x:t xml:space="preserve">Directed putaway rules (location constraints, velocity)</x:t>
        </x:is>
      </x:c>
      <x:c r="D17" s="16" t="inlineStr">
        <x:is>
          <x:t xml:space="preserve"/>
        </x:is>
      </x:c>
      <x:c r="E17" s="16" t="inlineStr">
        <x:is>
          <x:t xml:space="preserve"/>
        </x:is>
      </x:c>
      <x:c r="F17" s="16" t="inlineStr">
        <x:is>
          <x:t xml:space="preserve"/>
        </x:is>
      </x:c>
      <x:c r="G17" s="16" t="inlineStr">
        <x:is>
          <x:t xml:space="preserve"/>
        </x:is>
      </x:c>
      <x:c r="H17" s="16" t="inlineStr">
        <x:is>
          <x:t xml:space="preserve"/>
        </x:is>
      </x:c>
      <x:c r="I17" s="16" t="inlineStr">
        <x:is>
          <x:t xml:space="preserve"/>
        </x:is>
      </x:c>
      <x:c r="J17" s="16" t="inlineStr">
        <x:is>
          <x:t xml:space="preserve"/>
        </x:is>
      </x:c>
      <x:c r="K17" s="23">
        <x:f>IF(J17="",0,J17)*$B$5</x:f>
        <x:v>0</x:v>
      </x:c>
      <x:c r="L17" s="15" t="inlineStr">
        <x:is>
          <x:t xml:space="preserve"/>
        </x:is>
      </x:c>
    </x:row>
    <x:row r="18">
      <x:c r="A18" s="12" t="inlineStr">
        <x:is>
          <x:t xml:space="preserve">Inventory</x:t>
        </x:is>
      </x:c>
      <x:c r="B18" s="12" t="inlineStr">
        <x:is>
          <x:t xml:space="preserve">Counts</x:t>
        </x:is>
      </x:c>
      <x:c r="C18" s="15" t="inlineStr">
        <x:is>
          <x:t xml:space="preserve">Cycle count planning and variance workflow</x:t>
        </x:is>
      </x:c>
      <x:c r="D18" s="16" t="inlineStr">
        <x:is>
          <x:t xml:space="preserve"/>
        </x:is>
      </x:c>
      <x:c r="E18" s="16" t="inlineStr">
        <x:is>
          <x:t xml:space="preserve"/>
        </x:is>
      </x:c>
      <x:c r="F18" s="16" t="inlineStr">
        <x:is>
          <x:t xml:space="preserve"/>
        </x:is>
      </x:c>
      <x:c r="G18" s="16" t="inlineStr">
        <x:is>
          <x:t xml:space="preserve"/>
        </x:is>
      </x:c>
      <x:c r="H18" s="16" t="inlineStr">
        <x:is>
          <x:t xml:space="preserve"/>
        </x:is>
      </x:c>
      <x:c r="I18" s="16" t="inlineStr">
        <x:is>
          <x:t xml:space="preserve"/>
        </x:is>
      </x:c>
      <x:c r="J18" s="16" t="inlineStr">
        <x:is>
          <x:t xml:space="preserve"/>
        </x:is>
      </x:c>
      <x:c r="K18" s="23">
        <x:f>IF(J18="",0,J18)*$B$5</x:f>
        <x:v>0</x:v>
      </x:c>
      <x:c r="L18" s="15" t="inlineStr">
        <x:is>
          <x:t xml:space="preserve"/>
        </x:is>
      </x:c>
    </x:row>
    <x:row r="19">
      <x:c r="A19" s="12" t="inlineStr">
        <x:is>
          <x:t xml:space="preserve">Inventory</x:t>
        </x:is>
      </x:c>
      <x:c r="B19" s="12" t="inlineStr">
        <x:is>
          <x:t xml:space="preserve">Attributes</x:t>
        </x:is>
      </x:c>
      <x:c r="C19" s="15" t="inlineStr">
        <x:is>
          <x:t xml:space="preserve">Lot/serial/expiry support where required</x:t>
        </x:is>
      </x:c>
      <x:c r="D19" s="16" t="inlineStr">
        <x:is>
          <x:t xml:space="preserve"/>
        </x:is>
      </x:c>
      <x:c r="E19" s="16" t="inlineStr">
        <x:is>
          <x:t xml:space="preserve"/>
        </x:is>
      </x:c>
      <x:c r="F19" s="16" t="inlineStr">
        <x:is>
          <x:t xml:space="preserve"/>
        </x:is>
      </x:c>
      <x:c r="G19" s="16" t="inlineStr">
        <x:is>
          <x:t xml:space="preserve"/>
        </x:is>
      </x:c>
      <x:c r="H19" s="16" t="inlineStr">
        <x:is>
          <x:t xml:space="preserve"/>
        </x:is>
      </x:c>
      <x:c r="I19" s="16" t="inlineStr">
        <x:is>
          <x:t xml:space="preserve"/>
        </x:is>
      </x:c>
      <x:c r="J19" s="16" t="inlineStr">
        <x:is>
          <x:t xml:space="preserve"/>
        </x:is>
      </x:c>
      <x:c r="K19" s="23">
        <x:f>IF(J19="",0,J19)*$B$5</x:f>
        <x:v>0</x:v>
      </x:c>
      <x:c r="L19" s="15" t="inlineStr">
        <x:is>
          <x:t xml:space="preserve"/>
        </x:is>
      </x:c>
    </x:row>
    <x:row r="20">
      <x:c r="A20" s="12" t="inlineStr">
        <x:is>
          <x:t xml:space="preserve">Inventory</x:t>
        </x:is>
      </x:c>
      <x:c r="B20" s="12" t="inlineStr">
        <x:is>
          <x:t xml:space="preserve">Statuses</x:t>
        </x:is>
      </x:c>
      <x:c r="C20" s="15" t="inlineStr">
        <x:is>
          <x:t xml:space="preserve">QA/quarantine/damaged holds with permissioning</x:t>
        </x:is>
      </x:c>
      <x:c r="D20" s="16" t="inlineStr">
        <x:is>
          <x:t xml:space="preserve"/>
        </x:is>
      </x:c>
      <x:c r="E20" s="16" t="inlineStr">
        <x:is>
          <x:t xml:space="preserve"/>
        </x:is>
      </x:c>
      <x:c r="F20" s="16" t="inlineStr">
        <x:is>
          <x:t xml:space="preserve"/>
        </x:is>
      </x:c>
      <x:c r="G20" s="16" t="inlineStr">
        <x:is>
          <x:t xml:space="preserve"/>
        </x:is>
      </x:c>
      <x:c r="H20" s="16" t="inlineStr">
        <x:is>
          <x:t xml:space="preserve"/>
        </x:is>
      </x:c>
      <x:c r="I20" s="16" t="inlineStr">
        <x:is>
          <x:t xml:space="preserve"/>
        </x:is>
      </x:c>
      <x:c r="J20" s="16" t="inlineStr">
        <x:is>
          <x:t xml:space="preserve"/>
        </x:is>
      </x:c>
      <x:c r="K20" s="23">
        <x:f>IF(J20="",0,J20)*$B$5</x:f>
        <x:v>0</x:v>
      </x:c>
      <x:c r="L20" s="15" t="inlineStr">
        <x:is>
          <x:t xml:space="preserve"/>
        </x:is>
      </x:c>
    </x:row>
    <x:row r="21">
      <x:c r="A21" s="12" t="inlineStr">
        <x:is>
          <x:t xml:space="preserve">Inventory</x:t>
        </x:is>
      </x:c>
      <x:c r="B21" s="12" t="inlineStr">
        <x:is>
          <x:t xml:space="preserve">Replenishment</x:t>
        </x:is>
      </x:c>
      <x:c r="C21" s="15" t="inlineStr">
        <x:is>
          <x:t xml:space="preserve">Min/max or demand-driven replenishment triggers</x:t>
        </x:is>
      </x:c>
      <x:c r="D21" s="16" t="inlineStr">
        <x:is>
          <x:t xml:space="preserve"/>
        </x:is>
      </x:c>
      <x:c r="E21" s="16" t="inlineStr">
        <x:is>
          <x:t xml:space="preserve"/>
        </x:is>
      </x:c>
      <x:c r="F21" s="16" t="inlineStr">
        <x:is>
          <x:t xml:space="preserve"/>
        </x:is>
      </x:c>
      <x:c r="G21" s="16" t="inlineStr">
        <x:is>
          <x:t xml:space="preserve"/>
        </x:is>
      </x:c>
      <x:c r="H21" s="16" t="inlineStr">
        <x:is>
          <x:t xml:space="preserve"/>
        </x:is>
      </x:c>
      <x:c r="I21" s="16" t="inlineStr">
        <x:is>
          <x:t xml:space="preserve"/>
        </x:is>
      </x:c>
      <x:c r="J21" s="16" t="inlineStr">
        <x:is>
          <x:t xml:space="preserve"/>
        </x:is>
      </x:c>
      <x:c r="K21" s="23">
        <x:f>IF(J21="",0,J21)*$B$5</x:f>
        <x:v>0</x:v>
      </x:c>
      <x:c r="L21" s="15" t="inlineStr">
        <x:is>
          <x:t xml:space="preserve"/>
        </x:is>
      </x:c>
    </x:row>
    <x:row r="22">
      <x:c r="A22" s="12" t="inlineStr">
        <x:is>
          <x:t xml:space="preserve">Inventory</x:t>
        </x:is>
      </x:c>
      <x:c r="B22" s="12" t="inlineStr">
        <x:is>
          <x:t xml:space="preserve">Visibility</x:t>
        </x:is>
      </x:c>
      <x:c r="C22" s="15" t="inlineStr">
        <x:is>
          <x:t xml:space="preserve">Real-time inventory visibility for customers</x:t>
        </x:is>
      </x:c>
      <x:c r="D22" s="16" t="inlineStr">
        <x:is>
          <x:t xml:space="preserve"/>
        </x:is>
      </x:c>
      <x:c r="E22" s="16" t="inlineStr">
        <x:is>
          <x:t xml:space="preserve"/>
        </x:is>
      </x:c>
      <x:c r="F22" s="16" t="inlineStr">
        <x:is>
          <x:t xml:space="preserve"/>
        </x:is>
      </x:c>
      <x:c r="G22" s="16" t="inlineStr">
        <x:is>
          <x:t xml:space="preserve"/>
        </x:is>
      </x:c>
      <x:c r="H22" s="16" t="inlineStr">
        <x:is>
          <x:t xml:space="preserve"/>
        </x:is>
      </x:c>
      <x:c r="I22" s="16" t="inlineStr">
        <x:is>
          <x:t xml:space="preserve"/>
        </x:is>
      </x:c>
      <x:c r="J22" s="16" t="inlineStr">
        <x:is>
          <x:t xml:space="preserve"/>
        </x:is>
      </x:c>
      <x:c r="K22" s="23">
        <x:f>IF(J22="",0,J22)*$B$5</x:f>
        <x:v>0</x:v>
      </x:c>
      <x:c r="L22" s="15" t="inlineStr">
        <x:is>
          <x:t xml:space="preserve"/>
        </x:is>
      </x:c>
    </x:row>
    <x:row r="23">
      <x:c r="A23" s="12" t="inlineStr">
        <x:is>
          <x:t xml:space="preserve">Pick/Pack</x:t>
        </x:is>
      </x:c>
      <x:c r="B23" s="12" t="inlineStr">
        <x:is>
          <x:t xml:space="preserve">Picking</x:t>
        </x:is>
      </x:c>
      <x:c r="C23" s="15" t="inlineStr">
        <x:is>
          <x:t xml:space="preserve">System-directed picking (RF/voice)</x:t>
        </x:is>
      </x:c>
      <x:c r="D23" s="16" t="inlineStr">
        <x:is>
          <x:t xml:space="preserve"/>
        </x:is>
      </x:c>
      <x:c r="E23" s="16" t="inlineStr">
        <x:is>
          <x:t xml:space="preserve"/>
        </x:is>
      </x:c>
      <x:c r="F23" s="16" t="inlineStr">
        <x:is>
          <x:t xml:space="preserve"/>
        </x:is>
      </x:c>
      <x:c r="G23" s="16" t="inlineStr">
        <x:is>
          <x:t xml:space="preserve"/>
        </x:is>
      </x:c>
      <x:c r="H23" s="16" t="inlineStr">
        <x:is>
          <x:t xml:space="preserve"/>
        </x:is>
      </x:c>
      <x:c r="I23" s="16" t="inlineStr">
        <x:is>
          <x:t xml:space="preserve"/>
        </x:is>
      </x:c>
      <x:c r="J23" s="16" t="inlineStr">
        <x:is>
          <x:t xml:space="preserve"/>
        </x:is>
      </x:c>
      <x:c r="K23" s="23">
        <x:f>IF(J23="",0,J23)*$B$5</x:f>
        <x:v>0</x:v>
      </x:c>
      <x:c r="L23" s="15" t="inlineStr">
        <x:is>
          <x:t xml:space="preserve"/>
        </x:is>
      </x:c>
    </x:row>
    <x:row r="24">
      <x:c r="A24" s="12" t="inlineStr">
        <x:is>
          <x:t xml:space="preserve">Pick/Pack</x:t>
        </x:is>
      </x:c>
      <x:c r="B24" s="12" t="inlineStr">
        <x:is>
          <x:t xml:space="preserve">Picking</x:t>
        </x:is>
      </x:c>
      <x:c r="C24" s="15" t="inlineStr">
        <x:is>
          <x:t xml:space="preserve">Support zone/batch/wave picking as needed</x:t>
        </x:is>
      </x:c>
      <x:c r="D24" s="16" t="inlineStr">
        <x:is>
          <x:t xml:space="preserve"/>
        </x:is>
      </x:c>
      <x:c r="E24" s="16" t="inlineStr">
        <x:is>
          <x:t xml:space="preserve"/>
        </x:is>
      </x:c>
      <x:c r="F24" s="16" t="inlineStr">
        <x:is>
          <x:t xml:space="preserve"/>
        </x:is>
      </x:c>
      <x:c r="G24" s="16" t="inlineStr">
        <x:is>
          <x:t xml:space="preserve"/>
        </x:is>
      </x:c>
      <x:c r="H24" s="16" t="inlineStr">
        <x:is>
          <x:t xml:space="preserve"/>
        </x:is>
      </x:c>
      <x:c r="I24" s="16" t="inlineStr">
        <x:is>
          <x:t xml:space="preserve"/>
        </x:is>
      </x:c>
      <x:c r="J24" s="16" t="inlineStr">
        <x:is>
          <x:t xml:space="preserve"/>
        </x:is>
      </x:c>
      <x:c r="K24" s="23">
        <x:f>IF(J24="",0,J24)*$B$5</x:f>
        <x:v>0</x:v>
      </x:c>
      <x:c r="L24" s="15" t="inlineStr">
        <x:is>
          <x:t xml:space="preserve"/>
        </x:is>
      </x:c>
    </x:row>
    <x:row r="25">
      <x:c r="A25" s="12" t="inlineStr">
        <x:is>
          <x:t xml:space="preserve">Pick/Pack</x:t>
        </x:is>
      </x:c>
      <x:c r="B25" s="12" t="inlineStr">
        <x:is>
          <x:t xml:space="preserve">Packing</x:t>
        </x:is>
      </x:c>
      <x:c r="C25" s="15" t="inlineStr">
        <x:is>
          <x:t xml:space="preserve">Cartonization/pack rules and validation</x:t>
        </x:is>
      </x:c>
      <x:c r="D25" s="16" t="inlineStr">
        <x:is>
          <x:t xml:space="preserve"/>
        </x:is>
      </x:c>
      <x:c r="E25" s="16" t="inlineStr">
        <x:is>
          <x:t xml:space="preserve"/>
        </x:is>
      </x:c>
      <x:c r="F25" s="16" t="inlineStr">
        <x:is>
          <x:t xml:space="preserve"/>
        </x:is>
      </x:c>
      <x:c r="G25" s="16" t="inlineStr">
        <x:is>
          <x:t xml:space="preserve"/>
        </x:is>
      </x:c>
      <x:c r="H25" s="16" t="inlineStr">
        <x:is>
          <x:t xml:space="preserve"/>
        </x:is>
      </x:c>
      <x:c r="I25" s="16" t="inlineStr">
        <x:is>
          <x:t xml:space="preserve"/>
        </x:is>
      </x:c>
      <x:c r="J25" s="16" t="inlineStr">
        <x:is>
          <x:t xml:space="preserve"/>
        </x:is>
      </x:c>
      <x:c r="K25" s="23">
        <x:f>IF(J25="",0,J25)*$B$5</x:f>
        <x:v>0</x:v>
      </x:c>
      <x:c r="L25" s="15" t="inlineStr">
        <x:is>
          <x:t xml:space="preserve"/>
        </x:is>
      </x:c>
    </x:row>
    <x:row r="26">
      <x:c r="A26" s="12" t="inlineStr">
        <x:is>
          <x:t xml:space="preserve">Pick/Pack</x:t>
        </x:is>
      </x:c>
      <x:c r="B26" s="12" t="inlineStr">
        <x:is>
          <x:t xml:space="preserve">Packing</x:t>
        </x:is>
      </x:c>
      <x:c r="C26" s="15" t="inlineStr">
        <x:is>
          <x:t xml:space="preserve">Capture VAS work (kitting, relabel) as billable events</x:t>
        </x:is>
      </x:c>
      <x:c r="D26" s="16" t="inlineStr">
        <x:is>
          <x:t xml:space="preserve"/>
        </x:is>
      </x:c>
      <x:c r="E26" s="16" t="inlineStr">
        <x:is>
          <x:t xml:space="preserve"/>
        </x:is>
      </x:c>
      <x:c r="F26" s="16" t="inlineStr">
        <x:is>
          <x:t xml:space="preserve"/>
        </x:is>
      </x:c>
      <x:c r="G26" s="16" t="inlineStr">
        <x:is>
          <x:t xml:space="preserve"/>
        </x:is>
      </x:c>
      <x:c r="H26" s="16" t="inlineStr">
        <x:is>
          <x:t xml:space="preserve"/>
        </x:is>
      </x:c>
      <x:c r="I26" s="16" t="inlineStr">
        <x:is>
          <x:t xml:space="preserve"/>
        </x:is>
      </x:c>
      <x:c r="J26" s="16" t="inlineStr">
        <x:is>
          <x:t xml:space="preserve"/>
        </x:is>
      </x:c>
      <x:c r="K26" s="23">
        <x:f>IF(J26="",0,J26)*$B$5</x:f>
        <x:v>0</x:v>
      </x:c>
      <x:c r="L26" s="15" t="inlineStr">
        <x:is>
          <x:t xml:space="preserve"/>
        </x:is>
      </x:c>
    </x:row>
    <x:row r="27">
      <x:c r="A27" s="12" t="inlineStr">
        <x:is>
          <x:t xml:space="preserve">Pick/Pack</x:t>
        </x:is>
      </x:c>
      <x:c r="B27" s="12" t="inlineStr">
        <x:is>
          <x:t xml:space="preserve">Quality</x:t>
        </x:is>
      </x:c>
      <x:c r="C27" s="15" t="inlineStr">
        <x:is>
          <x:t xml:space="preserve">Scan validation to prevent wrong-item shipments</x:t>
        </x:is>
      </x:c>
      <x:c r="D27" s="16" t="inlineStr">
        <x:is>
          <x:t xml:space="preserve"/>
        </x:is>
      </x:c>
      <x:c r="E27" s="16" t="inlineStr">
        <x:is>
          <x:t xml:space="preserve"/>
        </x:is>
      </x:c>
      <x:c r="F27" s="16" t="inlineStr">
        <x:is>
          <x:t xml:space="preserve"/>
        </x:is>
      </x:c>
      <x:c r="G27" s="16" t="inlineStr">
        <x:is>
          <x:t xml:space="preserve"/>
        </x:is>
      </x:c>
      <x:c r="H27" s="16" t="inlineStr">
        <x:is>
          <x:t xml:space="preserve"/>
        </x:is>
      </x:c>
      <x:c r="I27" s="16" t="inlineStr">
        <x:is>
          <x:t xml:space="preserve"/>
        </x:is>
      </x:c>
      <x:c r="J27" s="16" t="inlineStr">
        <x:is>
          <x:t xml:space="preserve"/>
        </x:is>
      </x:c>
      <x:c r="K27" s="23">
        <x:f>IF(J27="",0,J27)*$B$5</x:f>
        <x:v>0</x:v>
      </x:c>
      <x:c r="L27" s="15" t="inlineStr">
        <x:is>
          <x:t xml:space="preserve"/>
        </x:is>
      </x:c>
    </x:row>
    <x:row r="28">
      <x:c r="A28" s="12" t="inlineStr">
        <x:is>
          <x:t xml:space="preserve">Shipping</x:t>
        </x:is>
      </x:c>
      <x:c r="B28" s="12" t="inlineStr">
        <x:is>
          <x:t xml:space="preserve">Labels</x:t>
        </x:is>
      </x:c>
      <x:c r="C28" s="15" t="inlineStr">
        <x:is>
          <x:t xml:space="preserve">Integrated label printing (carrier, service, hazmat)</x:t>
        </x:is>
      </x:c>
      <x:c r="D28" s="16" t="inlineStr">
        <x:is>
          <x:t xml:space="preserve"/>
        </x:is>
      </x:c>
      <x:c r="E28" s="16" t="inlineStr">
        <x:is>
          <x:t xml:space="preserve"/>
        </x:is>
      </x:c>
      <x:c r="F28" s="16" t="inlineStr">
        <x:is>
          <x:t xml:space="preserve"/>
        </x:is>
      </x:c>
      <x:c r="G28" s="16" t="inlineStr">
        <x:is>
          <x:t xml:space="preserve"/>
        </x:is>
      </x:c>
      <x:c r="H28" s="16" t="inlineStr">
        <x:is>
          <x:t xml:space="preserve"/>
        </x:is>
      </x:c>
      <x:c r="I28" s="16" t="inlineStr">
        <x:is>
          <x:t xml:space="preserve"/>
        </x:is>
      </x:c>
      <x:c r="J28" s="16" t="inlineStr">
        <x:is>
          <x:t xml:space="preserve"/>
        </x:is>
      </x:c>
      <x:c r="K28" s="23">
        <x:f>IF(J28="",0,J28)*$B$5</x:f>
        <x:v>0</x:v>
      </x:c>
      <x:c r="L28" s="15" t="inlineStr">
        <x:is>
          <x:t xml:space="preserve"/>
        </x:is>
      </x:c>
    </x:row>
    <x:row r="29">
      <x:c r="A29" s="12" t="inlineStr">
        <x:is>
          <x:t xml:space="preserve">Shipping</x:t>
        </x:is>
      </x:c>
      <x:c r="B29" s="12" t="inlineStr">
        <x:is>
          <x:t xml:space="preserve">Manifest</x:t>
        </x:is>
      </x:c>
      <x:c r="C29" s="15" t="inlineStr">
        <x:is>
          <x:t xml:space="preserve">Automated manifest/end-of-day closeout</x:t>
        </x:is>
      </x:c>
      <x:c r="D29" s="16" t="inlineStr">
        <x:is>
          <x:t xml:space="preserve"/>
        </x:is>
      </x:c>
      <x:c r="E29" s="16" t="inlineStr">
        <x:is>
          <x:t xml:space="preserve"/>
        </x:is>
      </x:c>
      <x:c r="F29" s="16" t="inlineStr">
        <x:is>
          <x:t xml:space="preserve"/>
        </x:is>
      </x:c>
      <x:c r="G29" s="16" t="inlineStr">
        <x:is>
          <x:t xml:space="preserve"/>
        </x:is>
      </x:c>
      <x:c r="H29" s="16" t="inlineStr">
        <x:is>
          <x:t xml:space="preserve"/>
        </x:is>
      </x:c>
      <x:c r="I29" s="16" t="inlineStr">
        <x:is>
          <x:t xml:space="preserve"/>
        </x:is>
      </x:c>
      <x:c r="J29" s="16" t="inlineStr">
        <x:is>
          <x:t xml:space="preserve"/>
        </x:is>
      </x:c>
      <x:c r="K29" s="23">
        <x:f>IF(J29="",0,J29)*$B$5</x:f>
        <x:v>0</x:v>
      </x:c>
      <x:c r="L29" s="15" t="inlineStr">
        <x:is>
          <x:t xml:space="preserve"/>
        </x:is>
      </x:c>
    </x:row>
    <x:row r="30">
      <x:c r="A30" s="12" t="inlineStr">
        <x:is>
          <x:t xml:space="preserve">Shipping</x:t>
        </x:is>
      </x:c>
      <x:c r="B30" s="12" t="inlineStr">
        <x:is>
          <x:t xml:space="preserve">Freight</x:t>
        </x:is>
      </x:c>
      <x:c r="C30" s="15" t="inlineStr">
        <x:is>
          <x:t xml:space="preserve">Rate shopping / LTL quoting integration</x:t>
        </x:is>
      </x:c>
      <x:c r="D30" s="16" t="inlineStr">
        <x:is>
          <x:t xml:space="preserve"/>
        </x:is>
      </x:c>
      <x:c r="E30" s="16" t="inlineStr">
        <x:is>
          <x:t xml:space="preserve"/>
        </x:is>
      </x:c>
      <x:c r="F30" s="16" t="inlineStr">
        <x:is>
          <x:t xml:space="preserve"/>
        </x:is>
      </x:c>
      <x:c r="G30" s="16" t="inlineStr">
        <x:is>
          <x:t xml:space="preserve"/>
        </x:is>
      </x:c>
      <x:c r="H30" s="16" t="inlineStr">
        <x:is>
          <x:t xml:space="preserve"/>
        </x:is>
      </x:c>
      <x:c r="I30" s="16" t="inlineStr">
        <x:is>
          <x:t xml:space="preserve"/>
        </x:is>
      </x:c>
      <x:c r="J30" s="16" t="inlineStr">
        <x:is>
          <x:t xml:space="preserve"/>
        </x:is>
      </x:c>
      <x:c r="K30" s="23">
        <x:f>IF(J30="",0,J30)*$B$5</x:f>
        <x:v>0</x:v>
      </x:c>
      <x:c r="L30" s="15" t="inlineStr">
        <x:is>
          <x:t xml:space="preserve"/>
        </x:is>
      </x:c>
    </x:row>
    <x:row r="31">
      <x:c r="A31" s="12" t="inlineStr">
        <x:is>
          <x:t xml:space="preserve">Shipping</x:t>
        </x:is>
      </x:c>
      <x:c r="B31" s="12" t="inlineStr">
        <x:is>
          <x:t xml:space="preserve">Compliance</x:t>
        </x:is>
      </x:c>
      <x:c r="C31" s="15" t="inlineStr">
        <x:is>
          <x:t xml:space="preserve">Dangerous goods documentation / export docs where relevant</x:t>
        </x:is>
      </x:c>
      <x:c r="D31" s="16" t="inlineStr">
        <x:is>
          <x:t xml:space="preserve"/>
        </x:is>
      </x:c>
      <x:c r="E31" s="16" t="inlineStr">
        <x:is>
          <x:t xml:space="preserve"/>
        </x:is>
      </x:c>
      <x:c r="F31" s="16" t="inlineStr">
        <x:is>
          <x:t xml:space="preserve"/>
        </x:is>
      </x:c>
      <x:c r="G31" s="16" t="inlineStr">
        <x:is>
          <x:t xml:space="preserve"/>
        </x:is>
      </x:c>
      <x:c r="H31" s="16" t="inlineStr">
        <x:is>
          <x:t xml:space="preserve"/>
        </x:is>
      </x:c>
      <x:c r="I31" s="16" t="inlineStr">
        <x:is>
          <x:t xml:space="preserve"/>
        </x:is>
      </x:c>
      <x:c r="J31" s="16" t="inlineStr">
        <x:is>
          <x:t xml:space="preserve"/>
        </x:is>
      </x:c>
      <x:c r="K31" s="23">
        <x:f>IF(J31="",0,J31)*$B$5</x:f>
        <x:v>0</x:v>
      </x:c>
      <x:c r="L31" s="15" t="inlineStr">
        <x:is>
          <x:t xml:space="preserve"/>
        </x:is>
      </x:c>
    </x:row>
    <x:row r="32">
      <x:c r="A32" s="12" t="inlineStr">
        <x:is>
          <x:t xml:space="preserve">Shipping</x:t>
        </x:is>
      </x:c>
      <x:c r="B32" s="12" t="inlineStr">
        <x:is>
          <x:t xml:space="preserve">Tracking</x:t>
        </x:is>
      </x:c>
      <x:c r="C32" s="15" t="inlineStr">
        <x:is>
          <x:t xml:space="preserve">Tracking events pushed to customers automatically</x:t>
        </x:is>
      </x:c>
      <x:c r="D32" s="16" t="inlineStr">
        <x:is>
          <x:t xml:space="preserve"/>
        </x:is>
      </x:c>
      <x:c r="E32" s="16" t="inlineStr">
        <x:is>
          <x:t xml:space="preserve"/>
        </x:is>
      </x:c>
      <x:c r="F32" s="16" t="inlineStr">
        <x:is>
          <x:t xml:space="preserve"/>
        </x:is>
      </x:c>
      <x:c r="G32" s="16" t="inlineStr">
        <x:is>
          <x:t xml:space="preserve"/>
        </x:is>
      </x:c>
      <x:c r="H32" s="16" t="inlineStr">
        <x:is>
          <x:t xml:space="preserve"/>
        </x:is>
      </x:c>
      <x:c r="I32" s="16" t="inlineStr">
        <x:is>
          <x:t xml:space="preserve"/>
        </x:is>
      </x:c>
      <x:c r="J32" s="16" t="inlineStr">
        <x:is>
          <x:t xml:space="preserve"/>
        </x:is>
      </x:c>
      <x:c r="K32" s="23">
        <x:f>IF(J32="",0,J32)*$B$5</x:f>
        <x:v>0</x:v>
      </x:c>
      <x:c r="L32" s="15" t="inlineStr">
        <x:is>
          <x:t xml:space="preserve"/>
        </x:is>
      </x:c>
    </x:row>
    <x:row r="33">
      <x:c r="A33" s="12" t="inlineStr">
        <x:is>
          <x:t xml:space="preserve">Returns</x:t>
        </x:is>
      </x:c>
      <x:c r="B33" s="12" t="inlineStr">
        <x:is>
          <x:t xml:space="preserve">RMA</x:t>
        </x:is>
      </x:c>
      <x:c r="C33" s="15" t="inlineStr">
        <x:is>
          <x:t xml:space="preserve">RMA intake with disposition rules</x:t>
        </x:is>
      </x:c>
      <x:c r="D33" s="16" t="inlineStr">
        <x:is>
          <x:t xml:space="preserve"/>
        </x:is>
      </x:c>
      <x:c r="E33" s="16" t="inlineStr">
        <x:is>
          <x:t xml:space="preserve"/>
        </x:is>
      </x:c>
      <x:c r="F33" s="16" t="inlineStr">
        <x:is>
          <x:t xml:space="preserve"/>
        </x:is>
      </x:c>
      <x:c r="G33" s="16" t="inlineStr">
        <x:is>
          <x:t xml:space="preserve"/>
        </x:is>
      </x:c>
      <x:c r="H33" s="16" t="inlineStr">
        <x:is>
          <x:t xml:space="preserve"/>
        </x:is>
      </x:c>
      <x:c r="I33" s="16" t="inlineStr">
        <x:is>
          <x:t xml:space="preserve"/>
        </x:is>
      </x:c>
      <x:c r="J33" s="16" t="inlineStr">
        <x:is>
          <x:t xml:space="preserve"/>
        </x:is>
      </x:c>
      <x:c r="K33" s="23">
        <x:f>IF(J33="",0,J33)*$B$5</x:f>
        <x:v>0</x:v>
      </x:c>
      <x:c r="L33" s="15" t="inlineStr">
        <x:is>
          <x:t xml:space="preserve"/>
        </x:is>
      </x:c>
    </x:row>
    <x:row r="34">
      <x:c r="A34" s="12" t="inlineStr">
        <x:is>
          <x:t xml:space="preserve">Returns</x:t>
        </x:is>
      </x:c>
      <x:c r="B34" s="12" t="inlineStr">
        <x:is>
          <x:t xml:space="preserve">Inspection</x:t>
        </x:is>
      </x:c>
      <x:c r="C34" s="15" t="inlineStr">
        <x:is>
          <x:t xml:space="preserve">Standard inspection workflow &amp; reason codes</x:t>
        </x:is>
      </x:c>
      <x:c r="D34" s="16" t="inlineStr">
        <x:is>
          <x:t xml:space="preserve"/>
        </x:is>
      </x:c>
      <x:c r="E34" s="16" t="inlineStr">
        <x:is>
          <x:t xml:space="preserve"/>
        </x:is>
      </x:c>
      <x:c r="F34" s="16" t="inlineStr">
        <x:is>
          <x:t xml:space="preserve"/>
        </x:is>
      </x:c>
      <x:c r="G34" s="16" t="inlineStr">
        <x:is>
          <x:t xml:space="preserve"/>
        </x:is>
      </x:c>
      <x:c r="H34" s="16" t="inlineStr">
        <x:is>
          <x:t xml:space="preserve"/>
        </x:is>
      </x:c>
      <x:c r="I34" s="16" t="inlineStr">
        <x:is>
          <x:t xml:space="preserve"/>
        </x:is>
      </x:c>
      <x:c r="J34" s="16" t="inlineStr">
        <x:is>
          <x:t xml:space="preserve"/>
        </x:is>
      </x:c>
      <x:c r="K34" s="23">
        <x:f>IF(J34="",0,J34)*$B$5</x:f>
        <x:v>0</x:v>
      </x:c>
      <x:c r="L34" s="15" t="inlineStr">
        <x:is>
          <x:t xml:space="preserve"/>
        </x:is>
      </x:c>
    </x:row>
    <x:row r="35">
      <x:c r="A35" s="12" t="inlineStr">
        <x:is>
          <x:t xml:space="preserve">Returns</x:t>
        </x:is>
      </x:c>
      <x:c r="B35" s="12" t="inlineStr">
        <x:is>
          <x:t xml:space="preserve">Restock</x:t>
        </x:is>
      </x:c>
      <x:c r="C35" s="15" t="inlineStr">
        <x:is>
          <x:t xml:space="preserve">Restock / refurb / scrap tracked and auditable</x:t>
        </x:is>
      </x:c>
      <x:c r="D35" s="16" t="inlineStr">
        <x:is>
          <x:t xml:space="preserve"/>
        </x:is>
      </x:c>
      <x:c r="E35" s="16" t="inlineStr">
        <x:is>
          <x:t xml:space="preserve"/>
        </x:is>
      </x:c>
      <x:c r="F35" s="16" t="inlineStr">
        <x:is>
          <x:t xml:space="preserve"/>
        </x:is>
      </x:c>
      <x:c r="G35" s="16" t="inlineStr">
        <x:is>
          <x:t xml:space="preserve"/>
        </x:is>
      </x:c>
      <x:c r="H35" s="16" t="inlineStr">
        <x:is>
          <x:t xml:space="preserve"/>
        </x:is>
      </x:c>
      <x:c r="I35" s="16" t="inlineStr">
        <x:is>
          <x:t xml:space="preserve"/>
        </x:is>
      </x:c>
      <x:c r="J35" s="16" t="inlineStr">
        <x:is>
          <x:t xml:space="preserve"/>
        </x:is>
      </x:c>
      <x:c r="K35" s="23">
        <x:f>IF(J35="",0,J35)*$B$5</x:f>
        <x:v>0</x:v>
      </x:c>
      <x:c r="L35" s="15" t="inlineStr">
        <x:is>
          <x:t xml:space="preserve"/>
        </x:is>
      </x:c>
    </x:row>
    <x:row r="36">
      <x:c r="A36" s="12" t="inlineStr">
        <x:is>
          <x:t xml:space="preserve">Billing</x:t>
        </x:is>
      </x:c>
      <x:c r="B36" s="12" t="inlineStr">
        <x:is>
          <x:t xml:space="preserve">Invoicing</x:t>
        </x:is>
      </x:c>
      <x:c r="C36" s="15" t="inlineStr">
        <x:is>
          <x:t xml:space="preserve">Invoice generation from system events (storage, handling, VAS)</x:t>
        </x:is>
      </x:c>
      <x:c r="D36" s="16" t="inlineStr">
        <x:is>
          <x:t xml:space="preserve"/>
        </x:is>
      </x:c>
      <x:c r="E36" s="16" t="inlineStr">
        <x:is>
          <x:t xml:space="preserve"/>
        </x:is>
      </x:c>
      <x:c r="F36" s="16" t="inlineStr">
        <x:is>
          <x:t xml:space="preserve"/>
        </x:is>
      </x:c>
      <x:c r="G36" s="16" t="inlineStr">
        <x:is>
          <x:t xml:space="preserve"/>
        </x:is>
      </x:c>
      <x:c r="H36" s="16" t="inlineStr">
        <x:is>
          <x:t xml:space="preserve"/>
        </x:is>
      </x:c>
      <x:c r="I36" s="16" t="inlineStr">
        <x:is>
          <x:t xml:space="preserve"/>
        </x:is>
      </x:c>
      <x:c r="J36" s="16" t="inlineStr">
        <x:is>
          <x:t xml:space="preserve"/>
        </x:is>
      </x:c>
      <x:c r="K36" s="23">
        <x:f>IF(J36="",0,J36)*$B$5</x:f>
        <x:v>0</x:v>
      </x:c>
      <x:c r="L36" s="15" t="inlineStr">
        <x:is>
          <x:t xml:space="preserve"/>
        </x:is>
      </x:c>
    </x:row>
    <x:row r="37">
      <x:c r="A37" s="12" t="inlineStr">
        <x:is>
          <x:t xml:space="preserve">Billing</x:t>
        </x:is>
      </x:c>
      <x:c r="B37" s="12" t="inlineStr">
        <x:is>
          <x:t xml:space="preserve">Contracts</x:t>
        </x:is>
      </x:c>
      <x:c r="C37" s="15" t="inlineStr">
        <x:is>
          <x:t xml:space="preserve">Pricing rules per customer (tiers, minimums, accessorials)</x:t>
        </x:is>
      </x:c>
      <x:c r="D37" s="16" t="inlineStr">
        <x:is>
          <x:t xml:space="preserve"/>
        </x:is>
      </x:c>
      <x:c r="E37" s="16" t="inlineStr">
        <x:is>
          <x:t xml:space="preserve"/>
        </x:is>
      </x:c>
      <x:c r="F37" s="16" t="inlineStr">
        <x:is>
          <x:t xml:space="preserve"/>
        </x:is>
      </x:c>
      <x:c r="G37" s="16" t="inlineStr">
        <x:is>
          <x:t xml:space="preserve"/>
        </x:is>
      </x:c>
      <x:c r="H37" s="16" t="inlineStr">
        <x:is>
          <x:t xml:space="preserve"/>
        </x:is>
      </x:c>
      <x:c r="I37" s="16" t="inlineStr">
        <x:is>
          <x:t xml:space="preserve"/>
        </x:is>
      </x:c>
      <x:c r="J37" s="16" t="inlineStr">
        <x:is>
          <x:t xml:space="preserve"/>
        </x:is>
      </x:c>
      <x:c r="K37" s="23">
        <x:f>IF(J37="",0,J37)*$B$5</x:f>
        <x:v>0</x:v>
      </x:c>
      <x:c r="L37" s="15" t="inlineStr">
        <x:is>
          <x:t xml:space="preserve"/>
        </x:is>
      </x:c>
    </x:row>
    <x:row r="38">
      <x:c r="A38" s="12" t="inlineStr">
        <x:is>
          <x:t xml:space="preserve">Billing</x:t>
        </x:is>
      </x:c>
      <x:c r="B38" s="12" t="inlineStr">
        <x:is>
          <x:t xml:space="preserve">Disputes</x:t>
        </x:is>
      </x:c>
      <x:c r="C38" s="15" t="inlineStr">
        <x:is>
          <x:t xml:space="preserve">Dispute/chargeback workflow with evidence (scans, timestamps)</x:t>
        </x:is>
      </x:c>
      <x:c r="D38" s="16" t="inlineStr">
        <x:is>
          <x:t xml:space="preserve"/>
        </x:is>
      </x:c>
      <x:c r="E38" s="16" t="inlineStr">
        <x:is>
          <x:t xml:space="preserve"/>
        </x:is>
      </x:c>
      <x:c r="F38" s="16" t="inlineStr">
        <x:is>
          <x:t xml:space="preserve"/>
        </x:is>
      </x:c>
      <x:c r="G38" s="16" t="inlineStr">
        <x:is>
          <x:t xml:space="preserve"/>
        </x:is>
      </x:c>
      <x:c r="H38" s="16" t="inlineStr">
        <x:is>
          <x:t xml:space="preserve"/>
        </x:is>
      </x:c>
      <x:c r="I38" s="16" t="inlineStr">
        <x:is>
          <x:t xml:space="preserve"/>
        </x:is>
      </x:c>
      <x:c r="J38" s="16" t="inlineStr">
        <x:is>
          <x:t xml:space="preserve"/>
        </x:is>
      </x:c>
      <x:c r="K38" s="23">
        <x:f>IF(J38="",0,J38)*$B$5</x:f>
        <x:v>0</x:v>
      </x:c>
      <x:c r="L38" s="15" t="inlineStr">
        <x:is>
          <x:t xml:space="preserve"/>
        </x:is>
      </x:c>
    </x:row>
    <x:row r="39">
      <x:c r="A39" s="12" t="inlineStr">
        <x:is>
          <x:t xml:space="preserve">Reporting</x:t>
        </x:is>
      </x:c>
      <x:c r="B39" s="12" t="inlineStr">
        <x:is>
          <x:t xml:space="preserve">KPIs</x:t>
        </x:is>
      </x:c>
      <x:c r="C39" s="15" t="inlineStr">
        <x:is>
          <x:t xml:space="preserve">Daily KPIs without manual spreadsheet consolidation</x:t>
        </x:is>
      </x:c>
      <x:c r="D39" s="16" t="inlineStr">
        <x:is>
          <x:t xml:space="preserve"/>
        </x:is>
      </x:c>
      <x:c r="E39" s="16" t="inlineStr">
        <x:is>
          <x:t xml:space="preserve"/>
        </x:is>
      </x:c>
      <x:c r="F39" s="16" t="inlineStr">
        <x:is>
          <x:t xml:space="preserve"/>
        </x:is>
      </x:c>
      <x:c r="G39" s="16" t="inlineStr">
        <x:is>
          <x:t xml:space="preserve"/>
        </x:is>
      </x:c>
      <x:c r="H39" s="16" t="inlineStr">
        <x:is>
          <x:t xml:space="preserve"/>
        </x:is>
      </x:c>
      <x:c r="I39" s="16" t="inlineStr">
        <x:is>
          <x:t xml:space="preserve"/>
        </x:is>
      </x:c>
      <x:c r="J39" s="16" t="inlineStr">
        <x:is>
          <x:t xml:space="preserve"/>
        </x:is>
      </x:c>
      <x:c r="K39" s="23">
        <x:f>IF(J39="",0,J39)*$B$5</x:f>
        <x:v>0</x:v>
      </x:c>
      <x:c r="L39" s="15" t="inlineStr">
        <x:is>
          <x:t xml:space="preserve"/>
        </x:is>
      </x:c>
    </x:row>
    <x:row r="40">
      <x:c r="A40" s="12" t="inlineStr">
        <x:is>
          <x:t xml:space="preserve">Reporting</x:t>
        </x:is>
      </x:c>
      <x:c r="B40" s="12" t="inlineStr">
        <x:is>
          <x:t xml:space="preserve">Customer</x:t>
        </x:is>
      </x:c>
      <x:c r="C40" s="15" t="inlineStr">
        <x:is>
          <x:t xml:space="preserve">Customer scorecards and SLA reporting</x:t>
        </x:is>
      </x:c>
      <x:c r="D40" s="16" t="inlineStr">
        <x:is>
          <x:t xml:space="preserve"/>
        </x:is>
      </x:c>
      <x:c r="E40" s="16" t="inlineStr">
        <x:is>
          <x:t xml:space="preserve"/>
        </x:is>
      </x:c>
      <x:c r="F40" s="16" t="inlineStr">
        <x:is>
          <x:t xml:space="preserve"/>
        </x:is>
      </x:c>
      <x:c r="G40" s="16" t="inlineStr">
        <x:is>
          <x:t xml:space="preserve"/>
        </x:is>
      </x:c>
      <x:c r="H40" s="16" t="inlineStr">
        <x:is>
          <x:t xml:space="preserve"/>
        </x:is>
      </x:c>
      <x:c r="I40" s="16" t="inlineStr">
        <x:is>
          <x:t xml:space="preserve"/>
        </x:is>
      </x:c>
      <x:c r="J40" s="16" t="inlineStr">
        <x:is>
          <x:t xml:space="preserve"/>
        </x:is>
      </x:c>
      <x:c r="K40" s="23">
        <x:f>IF(J40="",0,J40)*$B$5</x:f>
        <x:v>0</x:v>
      </x:c>
      <x:c r="L40" s="15" t="inlineStr">
        <x:is>
          <x:t xml:space="preserve"/>
        </x:is>
      </x:c>
    </x:row>
    <x:row r="41">
      <x:c r="A41" s="12" t="inlineStr">
        <x:is>
          <x:t xml:space="preserve">Reporting</x:t>
        </x:is>
      </x:c>
      <x:c r="B41" s="12" t="inlineStr">
        <x:is>
          <x:t xml:space="preserve">Costing</x:t>
        </x:is>
      </x:c>
      <x:c r="C41" s="15" t="inlineStr">
        <x:is>
          <x:t xml:space="preserve">Cost-to-serve (labor/time) by customer or workflow</x:t>
        </x:is>
      </x:c>
      <x:c r="D41" s="16" t="inlineStr">
        <x:is>
          <x:t xml:space="preserve"/>
        </x:is>
      </x:c>
      <x:c r="E41" s="16" t="inlineStr">
        <x:is>
          <x:t xml:space="preserve"/>
        </x:is>
      </x:c>
      <x:c r="F41" s="16" t="inlineStr">
        <x:is>
          <x:t xml:space="preserve"/>
        </x:is>
      </x:c>
      <x:c r="G41" s="16" t="inlineStr">
        <x:is>
          <x:t xml:space="preserve"/>
        </x:is>
      </x:c>
      <x:c r="H41" s="16" t="inlineStr">
        <x:is>
          <x:t xml:space="preserve"/>
        </x:is>
      </x:c>
      <x:c r="I41" s="16" t="inlineStr">
        <x:is>
          <x:t xml:space="preserve"/>
        </x:is>
      </x:c>
      <x:c r="J41" s="16" t="inlineStr">
        <x:is>
          <x:t xml:space="preserve"/>
        </x:is>
      </x:c>
      <x:c r="K41" s="23">
        <x:f>IF(J41="",0,J41)*$B$5</x:f>
        <x:v>0</x:v>
      </x:c>
      <x:c r="L41" s="15" t="inlineStr">
        <x:is>
          <x:t xml:space="preserve"/>
        </x:is>
      </x:c>
    </x:row>
    <x:row r="42">
      <x:c r="A42" s="12" t="inlineStr">
        <x:is>
          <x:t xml:space="preserve">Customer Onboarding</x:t>
        </x:is>
      </x:c>
      <x:c r="B42" s="12" t="inlineStr">
        <x:is>
          <x:t xml:space="preserve">Setup</x:t>
        </x:is>
      </x:c>
      <x:c r="C42" s="15" t="inlineStr">
        <x:is>
          <x:t xml:space="preserve">Repeatable onboarding playbook + configuration checklist</x:t>
        </x:is>
      </x:c>
      <x:c r="D42" s="16" t="inlineStr">
        <x:is>
          <x:t xml:space="preserve"/>
        </x:is>
      </x:c>
      <x:c r="E42" s="16" t="inlineStr">
        <x:is>
          <x:t xml:space="preserve"/>
        </x:is>
      </x:c>
      <x:c r="F42" s="16" t="inlineStr">
        <x:is>
          <x:t xml:space="preserve"/>
        </x:is>
      </x:c>
      <x:c r="G42" s="16" t="inlineStr">
        <x:is>
          <x:t xml:space="preserve"/>
        </x:is>
      </x:c>
      <x:c r="H42" s="16" t="inlineStr">
        <x:is>
          <x:t xml:space="preserve"/>
        </x:is>
      </x:c>
      <x:c r="I42" s="16" t="inlineStr">
        <x:is>
          <x:t xml:space="preserve"/>
        </x:is>
      </x:c>
      <x:c r="J42" s="16" t="inlineStr">
        <x:is>
          <x:t xml:space="preserve"/>
        </x:is>
      </x:c>
      <x:c r="K42" s="23">
        <x:f>IF(J42="",0,J42)*$B$5</x:f>
        <x:v>0</x:v>
      </x:c>
      <x:c r="L42" s="15" t="inlineStr">
        <x:is>
          <x:t xml:space="preserve"/>
        </x:is>
      </x:c>
    </x:row>
    <x:row r="43">
      <x:c r="A43" s="12" t="inlineStr">
        <x:is>
          <x:t xml:space="preserve">Customer Onboarding</x:t>
        </x:is>
      </x:c>
      <x:c r="B43" s="12" t="inlineStr">
        <x:is>
          <x:t xml:space="preserve">Data</x:t>
        </x:is>
      </x:c>
      <x:c r="C43" s="15" t="inlineStr">
        <x:is>
          <x:t xml:space="preserve">Customer-specific label/EDI/pack rules versioned and documented</x:t>
        </x:is>
      </x:c>
      <x:c r="D43" s="16" t="inlineStr">
        <x:is>
          <x:t xml:space="preserve"/>
        </x:is>
      </x:c>
      <x:c r="E43" s="16" t="inlineStr">
        <x:is>
          <x:t xml:space="preserve"/>
        </x:is>
      </x:c>
      <x:c r="F43" s="16" t="inlineStr">
        <x:is>
          <x:t xml:space="preserve"/>
        </x:is>
      </x:c>
      <x:c r="G43" s="16" t="inlineStr">
        <x:is>
          <x:t xml:space="preserve"/>
        </x:is>
      </x:c>
      <x:c r="H43" s="16" t="inlineStr">
        <x:is>
          <x:t xml:space="preserve"/>
        </x:is>
      </x:c>
      <x:c r="I43" s="16" t="inlineStr">
        <x:is>
          <x:t xml:space="preserve"/>
        </x:is>
      </x:c>
      <x:c r="J43" s="16" t="inlineStr">
        <x:is>
          <x:t xml:space="preserve"/>
        </x:is>
      </x:c>
      <x:c r="K43" s="23">
        <x:f>IF(J43="",0,J43)*$B$5</x:f>
        <x:v>0</x:v>
      </x:c>
      <x:c r="L43" s="15" t="inlineStr">
        <x:is>
          <x:t xml:space="preserve"/>
        </x:is>
      </x:c>
    </x:row>
    <x:row r="44">
      <x:c r="A44" s="12" t="inlineStr">
        <x:is>
          <x:t xml:space="preserve">Integrations</x:t>
        </x:is>
      </x:c>
      <x:c r="B44" s="12" t="inlineStr">
        <x:is>
          <x:t xml:space="preserve">Systems</x:t>
        </x:is>
      </x:c>
      <x:c r="C44" s="15" t="inlineStr">
        <x:is>
          <x:t xml:space="preserve">WMS↔ERP integration for orders, receipts, inventory, invoices</x:t>
        </x:is>
      </x:c>
      <x:c r="D44" s="16" t="inlineStr">
        <x:is>
          <x:t xml:space="preserve"/>
        </x:is>
      </x:c>
      <x:c r="E44" s="16" t="inlineStr">
        <x:is>
          <x:t xml:space="preserve"/>
        </x:is>
      </x:c>
      <x:c r="F44" s="16" t="inlineStr">
        <x:is>
          <x:t xml:space="preserve"/>
        </x:is>
      </x:c>
      <x:c r="G44" s="16" t="inlineStr">
        <x:is>
          <x:t xml:space="preserve"/>
        </x:is>
      </x:c>
      <x:c r="H44" s="16" t="inlineStr">
        <x:is>
          <x:t xml:space="preserve"/>
        </x:is>
      </x:c>
      <x:c r="I44" s="16" t="inlineStr">
        <x:is>
          <x:t xml:space="preserve"/>
        </x:is>
      </x:c>
      <x:c r="J44" s="16" t="inlineStr">
        <x:is>
          <x:t xml:space="preserve"/>
        </x:is>
      </x:c>
      <x:c r="K44" s="23">
        <x:f>IF(J44="",0,J44)*$B$5</x:f>
        <x:v>0</x:v>
      </x:c>
      <x:c r="L44" s="15" t="inlineStr">
        <x:is>
          <x:t xml:space="preserve"/>
        </x:is>
      </x:c>
    </x:row>
    <x:row r="45">
      <x:c r="A45" s="12" t="inlineStr">
        <x:is>
          <x:t xml:space="preserve">Integrations</x:t>
        </x:is>
      </x:c>
      <x:c r="B45" s="12" t="inlineStr">
        <x:is>
          <x:t xml:space="preserve">EDI</x:t>
        </x:is>
      </x:c>
      <x:c r="C45" s="15" t="inlineStr">
        <x:is>
          <x:t xml:space="preserve">EDI transaction coverage (204/940/945/943/944/846/etc) as applicable</x:t>
        </x:is>
      </x:c>
      <x:c r="D45" s="16" t="inlineStr">
        <x:is>
          <x:t xml:space="preserve"/>
        </x:is>
      </x:c>
      <x:c r="E45" s="16" t="inlineStr">
        <x:is>
          <x:t xml:space="preserve"/>
        </x:is>
      </x:c>
      <x:c r="F45" s="16" t="inlineStr">
        <x:is>
          <x:t xml:space="preserve"/>
        </x:is>
      </x:c>
      <x:c r="G45" s="16" t="inlineStr">
        <x:is>
          <x:t xml:space="preserve"/>
        </x:is>
      </x:c>
      <x:c r="H45" s="16" t="inlineStr">
        <x:is>
          <x:t xml:space="preserve"/>
        </x:is>
      </x:c>
      <x:c r="I45" s="16" t="inlineStr">
        <x:is>
          <x:t xml:space="preserve"/>
        </x:is>
      </x:c>
      <x:c r="J45" s="16" t="inlineStr">
        <x:is>
          <x:t xml:space="preserve"/>
        </x:is>
      </x:c>
      <x:c r="K45" s="23">
        <x:f>IF(J45="",0,J45)*$B$5</x:f>
        <x:v>0</x:v>
      </x:c>
      <x:c r="L45" s="15" t="inlineStr">
        <x:is>
          <x:t xml:space="preserve"/>
        </x:is>
      </x:c>
    </x:row>
    <x:row r="46">
      <x:c r="A46" s="12" t="inlineStr">
        <x:is>
          <x:t xml:space="preserve">Integrations</x:t>
        </x:is>
      </x:c>
      <x:c r="B46" s="12" t="inlineStr">
        <x:is>
          <x:t xml:space="preserve">Data Quality</x:t>
        </x:is>
      </x:c>
      <x:c r="C46" s="15" t="inlineStr">
        <x:is>
          <x:t xml:space="preserve">Master data ownership + sync rules (items, UOMs, customers)</x:t>
        </x:is>
      </x:c>
      <x:c r="D46" s="16" t="inlineStr">
        <x:is>
          <x:t xml:space="preserve"/>
        </x:is>
      </x:c>
      <x:c r="E46" s="16" t="inlineStr">
        <x:is>
          <x:t xml:space="preserve"/>
        </x:is>
      </x:c>
      <x:c r="F46" s="16" t="inlineStr">
        <x:is>
          <x:t xml:space="preserve"/>
        </x:is>
      </x:c>
      <x:c r="G46" s="16" t="inlineStr">
        <x:is>
          <x:t xml:space="preserve"/>
        </x:is>
      </x:c>
      <x:c r="H46" s="16" t="inlineStr">
        <x:is>
          <x:t xml:space="preserve"/>
        </x:is>
      </x:c>
      <x:c r="I46" s="16" t="inlineStr">
        <x:is>
          <x:t xml:space="preserve"/>
        </x:is>
      </x:c>
      <x:c r="J46" s="16" t="inlineStr">
        <x:is>
          <x:t xml:space="preserve"/>
        </x:is>
      </x:c>
      <x:c r="K46" s="23">
        <x:f>IF(J46="",0,J46)*$B$5</x:f>
        <x:v>0</x:v>
      </x:c>
      <x:c r="L46" s="15" t="inlineStr">
        <x:is>
          <x:t xml:space="preserve"/>
        </x:is>
      </x:c>
    </x:row>
  </x:sheetData>
  <x:mergeCells>
    <x:mergeCell ref="N8:O10"/>
    <x:mergeCell ref="N1:O1"/>
    <x:mergeCell ref="A3:K3"/>
    <x:mergeCell ref="A2:K2"/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2" customWidth="1"/>
    <x:col min="13" max="13" width="24" customWidth="1"/>
    <x:col min="14" max="14" width="18" customWidth="1"/>
  </x:cols>
  <x:sheetData>
    <x:row r="1">
      <x:c r="A1" s="5" t="inlineStr">
        <x:is>
          <x:t xml:space="preserve">3PL Margin-Killer Heatmap</x:t>
        </x:is>
      </x:c>
      <x:c r="M1" s="6" t="inlineStr">
        <x:is>
          <x:t xml:space="preserve">Top Drivers</x:t>
        </x:is>
      </x:c>
    </x:row>
    <x:row r="2">
      <x:c r="A2" s="4" t="inlineStr">
        <x:is>
          <x:t xml:space="preserve">Rate each area 0–5 (0=None, 5=Severe). The highest totals point to your biggest recoverable margin levers.</x:t>
        </x:is>
      </x:c>
      <x:c r="M2" s="2" t="inlineStr">
        <x:is>
          <x:t xml:space="preserve">Highest process area</x:t>
        </x:is>
      </x:c>
      <x:c r="N2" s="4" t="str">
        <x:f>INDEX($A$7:$A$17,MATCH(MAX($L$7:$L$17),$L$7:$L$17,0))</x:f>
        <x:v>Receiving</x:v>
      </x:c>
    </x:row>
    <x:row r="3">
      <x:c r="M3" s="2" t="inlineStr">
        <x:is>
          <x:t xml:space="preserve">Process score</x:t>
        </x:is>
      </x:c>
      <x:c r="N3" s="20">
        <x:f>MAX($L$7:$L$17)</x:f>
        <x:v>0</x:v>
      </x:c>
    </x:row>
    <x:row r="4">
      <x:c r="A4" s="21" t="inlineStr">
        <x:is>
          <x:t xml:space="preserve">Company</x:t>
        </x:is>
      </x:c>
      <x:c r="B4" s="10" t="inlineStr">
        <x:is>
          <x:t xml:space="preserve"/>
        </x:is>
      </x:c>
      <x:c r="D4" s="21" t="inlineStr">
        <x:is>
          <x:t xml:space="preserve">Date</x:t>
        </x:is>
      </x:c>
      <x:c r="E4" s="10" t="inlineStr">
        <x:is>
          <x:t xml:space="preserve">2025-12-17</x:t>
        </x:is>
      </x:c>
      <x:c r="M4" s="2" t="inlineStr">
        <x:is>
          <x:t xml:space="preserve">Highest margin killer</x:t>
        </x:is>
      </x:c>
      <x:c r="N4" s="4" t="str">
        <x:f>INDEX($B$6:$K$6,MATCH(MAX($B$18:$K$18),$B$18:$K$18,0))</x:f>
        <x:v>Labor Waste,Rework/Errors,Inventory Shrink,Carrier Costs,Chargeback Leakage,Billing Leakage,SLA Misses,Space Utilization,System Downtime,Compliance Risk</x:v>
      </x:c>
    </x:row>
    <x:row r="5">
      <x:c r="M5" s="2" t="inlineStr">
        <x:is>
          <x:t xml:space="preserve">Killer score</x:t>
        </x:is>
      </x:c>
      <x:c r="N5" s="20">
        <x:f>MAX($B$18:$K$18)</x:f>
        <x:v>0</x:v>
      </x:c>
    </x:row>
    <x:row r="6">
      <x:c r="A6" s="11" t="inlineStr">
        <x:is>
          <x:t xml:space="preserve">Process Area</x:t>
        </x:is>
      </x:c>
      <x:c r="B6" s="11" t="inlineStr">
        <x:is>
          <x:t xml:space="preserve">Labor Waste</x:t>
        </x:is>
      </x:c>
      <x:c r="C6" s="11" t="inlineStr">
        <x:is>
          <x:t xml:space="preserve">Rework/Errors</x:t>
        </x:is>
      </x:c>
      <x:c r="D6" s="11" t="inlineStr">
        <x:is>
          <x:t xml:space="preserve">Inventory Shrink</x:t>
        </x:is>
      </x:c>
      <x:c r="E6" s="11" t="inlineStr">
        <x:is>
          <x:t xml:space="preserve">Carrier Costs</x:t>
        </x:is>
      </x:c>
      <x:c r="F6" s="11" t="inlineStr">
        <x:is>
          <x:t xml:space="preserve">Chargeback Leakage</x:t>
        </x:is>
      </x:c>
      <x:c r="G6" s="11" t="inlineStr">
        <x:is>
          <x:t xml:space="preserve">Billing Leakage</x:t>
        </x:is>
      </x:c>
      <x:c r="H6" s="11" t="inlineStr">
        <x:is>
          <x:t xml:space="preserve">SLA Misses</x:t>
        </x:is>
      </x:c>
      <x:c r="I6" s="11" t="inlineStr">
        <x:is>
          <x:t xml:space="preserve">Space Utilization</x:t>
        </x:is>
      </x:c>
      <x:c r="J6" s="11" t="inlineStr">
        <x:is>
          <x:t xml:space="preserve">System Downtime</x:t>
        </x:is>
      </x:c>
      <x:c r="K6" s="11" t="inlineStr">
        <x:is>
          <x:t xml:space="preserve">Compliance Risk</x:t>
        </x:is>
      </x:c>
      <x:c r="L6" s="11" t="inlineStr">
        <x:is>
          <x:t xml:space="preserve">Row Total</x:t>
        </x:is>
      </x:c>
    </x:row>
    <x:row r="7">
      <x:c r="A7" s="24" t="inlineStr">
        <x:is>
          <x:t xml:space="preserve">Receiving</x:t>
        </x:is>
      </x:c>
      <x:c r="B7" s="16" t="n">
        <x:v>0</x:v>
      </x:c>
      <x:c r="C7" s="16" t="n">
        <x:v>0</x:v>
      </x:c>
      <x:c r="D7" s="16" t="n">
        <x:v>0</x:v>
      </x:c>
      <x:c r="E7" s="16" t="n">
        <x:v>0</x:v>
      </x:c>
      <x:c r="F7" s="16" t="n">
        <x:v>0</x:v>
      </x:c>
      <x:c r="G7" s="16" t="n">
        <x:v>0</x:v>
      </x:c>
      <x:c r="H7" s="16" t="n">
        <x:v>0</x:v>
      </x:c>
      <x:c r="I7" s="16" t="n">
        <x:v>0</x:v>
      </x:c>
      <x:c r="J7" s="16" t="n">
        <x:v>0</x:v>
      </x:c>
      <x:c r="K7" s="16" t="n">
        <x:v>0</x:v>
      </x:c>
      <x:c r="L7" s="25">
        <x:f>SUM(B7:K7)</x:f>
        <x:v>0</x:v>
      </x:c>
      <x:c r="M7" s="2" t="inlineStr">
        <x:is>
          <x:t xml:space="preserve">Next step</x:t>
        </x:is>
      </x:c>
    </x:row>
    <x:row r="8">
      <x:c r="A8" s="24" t="inlineStr">
        <x:is>
          <x:t xml:space="preserve">Putaway</x:t>
        </x:is>
      </x:c>
      <x:c r="B8" s="16" t="n">
        <x:v>0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0</x:v>
      </x:c>
      <x:c r="I8" s="16" t="n">
        <x:v>0</x:v>
      </x:c>
      <x:c r="J8" s="16" t="n">
        <x:v>0</x:v>
      </x:c>
      <x:c r="K8" s="16" t="n">
        <x:v>0</x:v>
      </x:c>
      <x:c r="L8" s="25">
        <x:f>SUM(B8:K8)</x:f>
        <x:v>0</x:v>
      </x:c>
      <x:c r="M8" s="4" t="inlineStr">
        <x:is>
          <x:t xml:space="preserve">Pick the top 1–2 drivers and define a 90-day experiment. Track metrics phase-by-phase.</x:t>
        </x:is>
      </x:c>
    </x:row>
    <x:row r="9">
      <x:c r="A9" s="24" t="inlineStr">
        <x:is>
          <x:t xml:space="preserve">Inventory Control</x:t>
        </x:is>
      </x:c>
      <x:c r="B9" s="16" t="n">
        <x:v>0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25">
        <x:f>SUM(B9:K9)</x:f>
        <x:v>0</x:v>
      </x:c>
    </x:row>
    <x:row r="10">
      <x:c r="A10" s="24" t="inlineStr">
        <x:is>
          <x:t xml:space="preserve">Picking</x:t>
        </x:is>
      </x:c>
      <x:c r="B10" s="16" t="n">
        <x:v>0</x:v>
      </x:c>
      <x:c r="C10" s="16" t="n">
        <x:v>0</x:v>
      </x:c>
      <x:c r="D10" s="16" t="n">
        <x:v>0</x:v>
      </x:c>
      <x:c r="E10" s="16" t="n">
        <x:v>0</x:v>
      </x:c>
      <x:c r="F10" s="16" t="n">
        <x:v>0</x:v>
      </x:c>
      <x:c r="G10" s="16" t="n">
        <x:v>0</x:v>
      </x:c>
      <x:c r="H10" s="16" t="n">
        <x:v>0</x:v>
      </x:c>
      <x:c r="I10" s="16" t="n">
        <x:v>0</x:v>
      </x:c>
      <x:c r="J10" s="16" t="n">
        <x:v>0</x:v>
      </x:c>
      <x:c r="K10" s="16" t="n">
        <x:v>0</x:v>
      </x:c>
      <x:c r="L10" s="25">
        <x:f>SUM(B10:K10)</x:f>
        <x:v>0</x:v>
      </x:c>
    </x:row>
    <x:row r="11">
      <x:c r="A11" s="24" t="inlineStr">
        <x:is>
          <x:t xml:space="preserve">Packing</x:t>
        </x:is>
      </x:c>
      <x:c r="B11" s="16" t="n">
        <x:v>0</x:v>
      </x:c>
      <x:c r="C11" s="16" t="n">
        <x:v>0</x:v>
      </x:c>
      <x:c r="D11" s="16" t="n">
        <x:v>0</x:v>
      </x:c>
      <x:c r="E11" s="16" t="n">
        <x:v>0</x:v>
      </x:c>
      <x:c r="F11" s="16" t="n">
        <x:v>0</x:v>
      </x:c>
      <x:c r="G11" s="16" t="n">
        <x:v>0</x:v>
      </x:c>
      <x:c r="H11" s="16" t="n">
        <x:v>0</x:v>
      </x:c>
      <x:c r="I11" s="16" t="n">
        <x:v>0</x:v>
      </x:c>
      <x:c r="J11" s="16" t="n">
        <x:v>0</x:v>
      </x:c>
      <x:c r="K11" s="16" t="n">
        <x:v>0</x:v>
      </x:c>
      <x:c r="L11" s="25">
        <x:f>SUM(B11:K11)</x:f>
        <x:v>0</x:v>
      </x:c>
    </x:row>
    <x:row r="12">
      <x:c r="A12" s="24" t="inlineStr">
        <x:is>
          <x:t xml:space="preserve">Shipping</x:t>
        </x:is>
      </x:c>
      <x:c r="B12" s="16" t="n">
        <x:v>0</x:v>
      </x:c>
      <x:c r="C12" s="16" t="n">
        <x:v>0</x:v>
      </x:c>
      <x:c r="D12" s="16" t="n">
        <x:v>0</x:v>
      </x:c>
      <x:c r="E12" s="16" t="n">
        <x:v>0</x:v>
      </x:c>
      <x:c r="F12" s="16" t="n">
        <x:v>0</x:v>
      </x:c>
      <x:c r="G12" s="16" t="n">
        <x:v>0</x:v>
      </x:c>
      <x:c r="H12" s="16" t="n">
        <x:v>0</x:v>
      </x:c>
      <x:c r="I12" s="16" t="n">
        <x:v>0</x:v>
      </x:c>
      <x:c r="J12" s="16" t="n">
        <x:v>0</x:v>
      </x:c>
      <x:c r="K12" s="16" t="n">
        <x:v>0</x:v>
      </x:c>
      <x:c r="L12" s="25">
        <x:f>SUM(B12:K12)</x:f>
        <x:v>0</x:v>
      </x:c>
    </x:row>
    <x:row r="13">
      <x:c r="A13" s="24" t="inlineStr">
        <x:is>
          <x:t xml:space="preserve">Returns</x:t>
        </x:is>
      </x:c>
      <x:c r="B13" s="16" t="n">
        <x:v>0</x:v>
      </x:c>
      <x:c r="C13" s="16" t="n">
        <x:v>0</x:v>
      </x:c>
      <x:c r="D13" s="16" t="n">
        <x:v>0</x:v>
      </x:c>
      <x:c r="E13" s="16" t="n">
        <x:v>0</x:v>
      </x:c>
      <x:c r="F13" s="16" t="n">
        <x:v>0</x:v>
      </x:c>
      <x:c r="G13" s="16" t="n">
        <x:v>0</x:v>
      </x:c>
      <x:c r="H13" s="16" t="n">
        <x:v>0</x:v>
      </x:c>
      <x:c r="I13" s="16" t="n">
        <x:v>0</x:v>
      </x:c>
      <x:c r="J13" s="16" t="n">
        <x:v>0</x:v>
      </x:c>
      <x:c r="K13" s="16" t="n">
        <x:v>0</x:v>
      </x:c>
      <x:c r="L13" s="25">
        <x:f>SUM(B13:K13)</x:f>
        <x:v>0</x:v>
      </x:c>
    </x:row>
    <x:row r="14">
      <x:c r="A14" s="24" t="inlineStr">
        <x:is>
          <x:t xml:space="preserve">Billing</x:t>
        </x:is>
      </x:c>
      <x:c r="B14" s="16" t="n">
        <x:v>0</x:v>
      </x:c>
      <x:c r="C14" s="16" t="n">
        <x:v>0</x:v>
      </x:c>
      <x:c r="D14" s="16" t="n">
        <x:v>0</x:v>
      </x:c>
      <x:c r="E14" s="16" t="n">
        <x:v>0</x:v>
      </x:c>
      <x:c r="F14" s="16" t="n">
        <x:v>0</x:v>
      </x:c>
      <x:c r="G14" s="16" t="n">
        <x:v>0</x:v>
      </x:c>
      <x:c r="H14" s="16" t="n">
        <x:v>0</x:v>
      </x:c>
      <x:c r="I14" s="16" t="n">
        <x:v>0</x:v>
      </x:c>
      <x:c r="J14" s="16" t="n">
        <x:v>0</x:v>
      </x:c>
      <x:c r="K14" s="16" t="n">
        <x:v>0</x:v>
      </x:c>
      <x:c r="L14" s="25">
        <x:f>SUM(B14:K14)</x:f>
        <x:v>0</x:v>
      </x:c>
    </x:row>
    <x:row r="15">
      <x:c r="A15" s="24" t="inlineStr">
        <x:is>
          <x:t xml:space="preserve">Customer Onboarding</x:t>
        </x:is>
      </x:c>
      <x:c r="B15" s="16" t="n">
        <x:v>0</x:v>
      </x:c>
      <x:c r="C15" s="16" t="n">
        <x:v>0</x:v>
      </x:c>
      <x:c r="D15" s="16" t="n">
        <x:v>0</x:v>
      </x:c>
      <x:c r="E15" s="16" t="n">
        <x:v>0</x:v>
      </x:c>
      <x:c r="F15" s="16" t="n">
        <x:v>0</x:v>
      </x:c>
      <x:c r="G15" s="16" t="n">
        <x:v>0</x:v>
      </x:c>
      <x:c r="H15" s="16" t="n">
        <x:v>0</x:v>
      </x:c>
      <x:c r="I15" s="16" t="n">
        <x:v>0</x:v>
      </x:c>
      <x:c r="J15" s="16" t="n">
        <x:v>0</x:v>
      </x:c>
      <x:c r="K15" s="16" t="n">
        <x:v>0</x:v>
      </x:c>
      <x:c r="L15" s="25">
        <x:f>SUM(B15:K15)</x:f>
        <x:v>0</x:v>
      </x:c>
    </x:row>
    <x:row r="16">
      <x:c r="A16" s="24" t="inlineStr">
        <x:is>
          <x:t xml:space="preserve">Integrations</x:t>
        </x:is>
      </x:c>
      <x:c r="B16" s="16" t="n">
        <x:v>0</x:v>
      </x:c>
      <x:c r="C16" s="16" t="n">
        <x:v>0</x:v>
      </x:c>
      <x:c r="D16" s="16" t="n">
        <x:v>0</x:v>
      </x:c>
      <x:c r="E16" s="16" t="n">
        <x:v>0</x:v>
      </x:c>
      <x:c r="F16" s="16" t="n">
        <x:v>0</x:v>
      </x:c>
      <x:c r="G16" s="16" t="n">
        <x:v>0</x:v>
      </x:c>
      <x:c r="H16" s="16" t="n">
        <x:v>0</x:v>
      </x:c>
      <x:c r="I16" s="16" t="n">
        <x:v>0</x:v>
      </x:c>
      <x:c r="J16" s="16" t="n">
        <x:v>0</x:v>
      </x:c>
      <x:c r="K16" s="16" t="n">
        <x:v>0</x:v>
      </x:c>
      <x:c r="L16" s="25">
        <x:f>SUM(B16:K16)</x:f>
        <x:v>0</x:v>
      </x:c>
    </x:row>
    <x:row r="17">
      <x:c r="A17" s="24" t="inlineStr">
        <x:is>
          <x:t xml:space="preserve">Reporting/BI</x:t>
        </x:is>
      </x:c>
      <x:c r="B17" s="16" t="n">
        <x:v>0</x:v>
      </x:c>
      <x:c r="C17" s="16" t="n">
        <x:v>0</x:v>
      </x:c>
      <x:c r="D17" s="16" t="n">
        <x:v>0</x:v>
      </x:c>
      <x:c r="E17" s="16" t="n">
        <x:v>0</x:v>
      </x:c>
      <x:c r="F17" s="16" t="n">
        <x:v>0</x:v>
      </x:c>
      <x:c r="G17" s="16" t="n">
        <x:v>0</x:v>
      </x:c>
      <x:c r="H17" s="16" t="n">
        <x:v>0</x:v>
      </x:c>
      <x:c r="I17" s="16" t="n">
        <x:v>0</x:v>
      </x:c>
      <x:c r="J17" s="16" t="n">
        <x:v>0</x:v>
      </x:c>
      <x:c r="K17" s="16" t="n">
        <x:v>0</x:v>
      </x:c>
      <x:c r="L17" s="25">
        <x:f>SUM(B17:K17)</x:f>
        <x:v>0</x:v>
      </x:c>
    </x:row>
    <x:row r="18">
      <x:c r="A18" s="11" t="inlineStr">
        <x:is>
          <x:t xml:space="preserve">TOTAL (by margin killer)</x:t>
        </x:is>
      </x:c>
      <x:c r="B18" s="25">
        <x:f>SUM(B7:B17)</x:f>
        <x:v>0</x:v>
      </x:c>
      <x:c r="C18" s="25">
        <x:f>SUM(C7:C17)</x:f>
        <x:v>0</x:v>
      </x:c>
      <x:c r="D18" s="25">
        <x:f>SUM(D7:D17)</x:f>
        <x:v>0</x:v>
      </x:c>
      <x:c r="E18" s="25">
        <x:f>SUM(E7:E17)</x:f>
        <x:v>0</x:v>
      </x:c>
      <x:c r="F18" s="25">
        <x:f>SUM(F7:F17)</x:f>
        <x:v>0</x:v>
      </x:c>
      <x:c r="G18" s="25">
        <x:f>SUM(G7:G17)</x:f>
        <x:v>0</x:v>
      </x:c>
      <x:c r="H18" s="25">
        <x:f>SUM(H7:H17)</x:f>
        <x:v>0</x:v>
      </x:c>
      <x:c r="I18" s="25">
        <x:f>SUM(I7:I17)</x:f>
        <x:v>0</x:v>
      </x:c>
      <x:c r="J18" s="25">
        <x:f>SUM(J7:J17)</x:f>
        <x:v>0</x:v>
      </x:c>
      <x:c r="K18" s="25">
        <x:f>SUM(K7:K17)</x:f>
        <x:v>0</x:v>
      </x:c>
      <x:c r="L18" s="25">
        <x:f>SUM(L7:L17)</x:f>
        <x:v>0</x:v>
      </x:c>
    </x:row>
  </x:sheetData>
  <x:mergeCells>
    <x:mergeCell ref="A2:K2"/>
    <x:mergeCell ref="M8:N10"/>
    <x:mergeCell ref="A1:K1"/>
    <x:mergeCell ref="M1:N1"/>
  </x:mergeCells>
  <x:conditionalFormatting sqref="B7:K17">
    <x:cfRule type="colorScale" priority="1">
      <x:colorScale>
        <x:cfvo type="num" val="0"/>
        <x:cfvo type="num" val="2.5"/>
        <x:cfvo type="num" val="5"/>
        <x:color rgb="0063BE7B"/>
        <x:color rgb="00FFEB84"/>
        <x:color rgb="00F8696B"/>
      </x:colorScale>
    </x:cfRule>
  </x:conditionalFormatting>
  <x:pageMargins left="0.7" right="0.7" top="0.75" bottom="0.75" header="0.3" footer="0.3"/>
</x:worksheet>
</file>